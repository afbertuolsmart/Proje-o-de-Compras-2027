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pre\Downloads\"/>
    </mc:Choice>
  </mc:AlternateContent>
  <xr:revisionPtr revIDLastSave="0" documentId="13_ncr:1_{4EFC4A7A-1237-4C8D-A663-1E2FB675D7C6}" xr6:coauthVersionLast="47" xr6:coauthVersionMax="47" xr10:uidLastSave="{00000000-0000-0000-0000-000000000000}"/>
  <bookViews>
    <workbookView xWindow="-108" yWindow="-108" windowWidth="23256" windowHeight="12456" firstSheet="1" activeTab="5" xr2:uid="{B49F2BDF-02F7-254B-AE34-77B4379CA9BC}"/>
  </bookViews>
  <sheets>
    <sheet name="CONSOLIDADO-RESUMIDO" sheetId="26" r:id="rId1"/>
    <sheet name="DISTRIBUIÇÃO" sheetId="16" r:id="rId2"/>
    <sheet name="PROD.INDUSTRIA" sheetId="23" r:id="rId3"/>
    <sheet name="COMPRAS-QUANT" sheetId="21" r:id="rId4"/>
    <sheet name="COMPRAS-$" sheetId="22" r:id="rId5"/>
    <sheet name="ANALISE" sheetId="25" r:id="rId6"/>
  </sheets>
  <definedNames>
    <definedName name="_xlnm.Print_Area" localSheetId="5">ANALISE!$A$3:$J$64</definedName>
    <definedName name="_xlnm.Print_Area" localSheetId="4">'COMPRAS-$'!$B$2:$H$48</definedName>
    <definedName name="_xlnm.Print_Area" localSheetId="0">'CONSOLIDADO-RESUMIDO'!$C$2:$I$63</definedName>
    <definedName name="_xlnm.Print_Area" localSheetId="1">DISTRIBUIÇÃO!$A$3:$J$64</definedName>
    <definedName name="_xlnm.Print_Area" localSheetId="2">PROD.INDUSTRIA!$B$1:$L$59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0" i="25" l="1"/>
  <c r="F68" i="26"/>
  <c r="J80" i="26"/>
  <c r="J79" i="26"/>
  <c r="J76" i="26"/>
  <c r="J73" i="26"/>
  <c r="J70" i="26"/>
  <c r="H79" i="26"/>
  <c r="H76" i="26"/>
  <c r="H73" i="26"/>
  <c r="H70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68" i="26"/>
  <c r="B50" i="26"/>
  <c r="B51" i="26"/>
  <c r="B52" i="26"/>
  <c r="B53" i="26"/>
  <c r="B54" i="26"/>
  <c r="B61" i="26" s="1"/>
  <c r="B55" i="26"/>
  <c r="B56" i="26"/>
  <c r="B57" i="26"/>
  <c r="B58" i="26"/>
  <c r="B59" i="26"/>
  <c r="B60" i="26"/>
  <c r="B49" i="26"/>
  <c r="B21" i="26"/>
  <c r="J42" i="26"/>
  <c r="K62" i="26"/>
  <c r="J62" i="26"/>
  <c r="E10" i="26"/>
  <c r="E9" i="26"/>
  <c r="F29" i="25"/>
  <c r="F50" i="25"/>
  <c r="C30" i="25"/>
  <c r="C31" i="25"/>
  <c r="C32" i="25"/>
  <c r="C33" i="25"/>
  <c r="C34" i="25"/>
  <c r="C35" i="25"/>
  <c r="C36" i="25"/>
  <c r="C37" i="25"/>
  <c r="C38" i="25"/>
  <c r="C39" i="25"/>
  <c r="C40" i="25"/>
  <c r="C29" i="25"/>
  <c r="C27" i="25"/>
  <c r="C26" i="25"/>
  <c r="C4" i="25"/>
  <c r="I7" i="25"/>
  <c r="J7" i="25"/>
  <c r="C5" i="25"/>
  <c r="F7" i="25" s="1"/>
  <c r="D8" i="25"/>
  <c r="D9" i="25"/>
  <c r="D10" i="25"/>
  <c r="D11" i="25"/>
  <c r="D12" i="25"/>
  <c r="D13" i="25"/>
  <c r="D14" i="25"/>
  <c r="D15" i="25"/>
  <c r="D16" i="25"/>
  <c r="D17" i="25"/>
  <c r="D18" i="25"/>
  <c r="D7" i="25"/>
  <c r="C8" i="25"/>
  <c r="C9" i="25"/>
  <c r="E9" i="25" s="1"/>
  <c r="C10" i="25"/>
  <c r="E10" i="25" s="1"/>
  <c r="C11" i="25"/>
  <c r="C12" i="25"/>
  <c r="E12" i="25" s="1"/>
  <c r="C13" i="25"/>
  <c r="C14" i="25"/>
  <c r="C15" i="25"/>
  <c r="C16" i="25"/>
  <c r="C17" i="25"/>
  <c r="C18" i="25"/>
  <c r="C7" i="25"/>
  <c r="H9" i="26"/>
  <c r="F7" i="16"/>
  <c r="G25" i="23"/>
  <c r="G26" i="23"/>
  <c r="G27" i="23"/>
  <c r="G28" i="23"/>
  <c r="G29" i="23"/>
  <c r="G30" i="23"/>
  <c r="G31" i="23"/>
  <c r="G32" i="23"/>
  <c r="G33" i="23"/>
  <c r="G34" i="23"/>
  <c r="G35" i="23"/>
  <c r="G36" i="23"/>
  <c r="C5" i="23" a="1"/>
  <c r="C18" i="23" s="1"/>
  <c r="C50" i="16"/>
  <c r="J7" i="16"/>
  <c r="G5" i="23" s="1"/>
  <c r="J30" i="16"/>
  <c r="J31" i="16"/>
  <c r="J32" i="16"/>
  <c r="J33" i="16"/>
  <c r="J34" i="16"/>
  <c r="J35" i="16"/>
  <c r="J36" i="16"/>
  <c r="J37" i="16"/>
  <c r="J38" i="16"/>
  <c r="J39" i="16"/>
  <c r="J40" i="16"/>
  <c r="J29" i="16"/>
  <c r="I29" i="16"/>
  <c r="C30" i="16"/>
  <c r="C31" i="16"/>
  <c r="C32" i="16"/>
  <c r="C33" i="16"/>
  <c r="C34" i="16"/>
  <c r="C35" i="16"/>
  <c r="C36" i="16"/>
  <c r="C37" i="16"/>
  <c r="C38" i="16"/>
  <c r="C39" i="16"/>
  <c r="C40" i="16"/>
  <c r="C29" i="16"/>
  <c r="C26" i="16"/>
  <c r="H7" i="16"/>
  <c r="D8" i="16"/>
  <c r="D9" i="16"/>
  <c r="D10" i="16"/>
  <c r="D11" i="16"/>
  <c r="D12" i="16"/>
  <c r="D13" i="16"/>
  <c r="D14" i="16"/>
  <c r="D15" i="16"/>
  <c r="D16" i="16"/>
  <c r="D17" i="16"/>
  <c r="D18" i="16"/>
  <c r="D7" i="16"/>
  <c r="C8" i="16"/>
  <c r="C9" i="16"/>
  <c r="C10" i="16"/>
  <c r="C11" i="16"/>
  <c r="C12" i="16"/>
  <c r="C13" i="16"/>
  <c r="C14" i="16"/>
  <c r="C15" i="16"/>
  <c r="C16" i="16"/>
  <c r="C17" i="16"/>
  <c r="C18" i="16"/>
  <c r="C7" i="16"/>
  <c r="C4" i="16"/>
  <c r="H27" i="26"/>
  <c r="J57" i="26"/>
  <c r="J22" i="26"/>
  <c r="F47" i="26"/>
  <c r="D63" i="26"/>
  <c r="F62" i="26"/>
  <c r="F50" i="26"/>
  <c r="F51" i="26"/>
  <c r="F52" i="26"/>
  <c r="F53" i="26"/>
  <c r="F54" i="26"/>
  <c r="F55" i="26"/>
  <c r="F56" i="26"/>
  <c r="F57" i="26"/>
  <c r="F58" i="26"/>
  <c r="F59" i="26"/>
  <c r="F60" i="26"/>
  <c r="F49" i="26"/>
  <c r="G10" i="26"/>
  <c r="G11" i="26"/>
  <c r="G12" i="26"/>
  <c r="G13" i="26"/>
  <c r="G14" i="26"/>
  <c r="G15" i="26"/>
  <c r="G16" i="26"/>
  <c r="G17" i="26"/>
  <c r="G18" i="26"/>
  <c r="G19" i="26"/>
  <c r="G20" i="26"/>
  <c r="G9" i="26"/>
  <c r="F10" i="26"/>
  <c r="F11" i="26"/>
  <c r="F12" i="26"/>
  <c r="F13" i="26"/>
  <c r="F14" i="26"/>
  <c r="F15" i="26"/>
  <c r="F16" i="26"/>
  <c r="F17" i="26"/>
  <c r="F18" i="26"/>
  <c r="F19" i="26"/>
  <c r="F20" i="26"/>
  <c r="F9" i="26"/>
  <c r="H30" i="26"/>
  <c r="H31" i="26"/>
  <c r="H32" i="26"/>
  <c r="H33" i="26"/>
  <c r="H34" i="26"/>
  <c r="H35" i="26"/>
  <c r="H36" i="26"/>
  <c r="H37" i="26"/>
  <c r="H38" i="26"/>
  <c r="H39" i="26"/>
  <c r="H40" i="26"/>
  <c r="H29" i="26"/>
  <c r="G30" i="26"/>
  <c r="G31" i="26"/>
  <c r="G32" i="26"/>
  <c r="G33" i="26"/>
  <c r="G34" i="26"/>
  <c r="G35" i="26"/>
  <c r="G36" i="26"/>
  <c r="G37" i="26"/>
  <c r="G38" i="26"/>
  <c r="G39" i="26"/>
  <c r="G40" i="26"/>
  <c r="G29" i="26"/>
  <c r="F30" i="26"/>
  <c r="F31" i="26"/>
  <c r="F32" i="26"/>
  <c r="F33" i="26"/>
  <c r="F34" i="26"/>
  <c r="F35" i="26"/>
  <c r="F36" i="26"/>
  <c r="F37" i="26"/>
  <c r="F38" i="26"/>
  <c r="F39" i="26"/>
  <c r="F40" i="26"/>
  <c r="F29" i="26"/>
  <c r="D50" i="26"/>
  <c r="D51" i="26"/>
  <c r="D52" i="26"/>
  <c r="D53" i="26"/>
  <c r="D54" i="26"/>
  <c r="D55" i="26"/>
  <c r="D56" i="26"/>
  <c r="D57" i="26"/>
  <c r="D58" i="26"/>
  <c r="D59" i="26"/>
  <c r="D60" i="26"/>
  <c r="D49" i="26"/>
  <c r="E30" i="26"/>
  <c r="E50" i="26" s="1"/>
  <c r="E31" i="26"/>
  <c r="E51" i="26" s="1"/>
  <c r="E32" i="26"/>
  <c r="E52" i="26" s="1"/>
  <c r="E33" i="26"/>
  <c r="E53" i="26" s="1"/>
  <c r="E34" i="26"/>
  <c r="E54" i="26" s="1"/>
  <c r="E35" i="26"/>
  <c r="E55" i="26" s="1"/>
  <c r="E36" i="26"/>
  <c r="E56" i="26" s="1"/>
  <c r="E37" i="26"/>
  <c r="E57" i="26" s="1"/>
  <c r="E38" i="26"/>
  <c r="E58" i="26" s="1"/>
  <c r="E39" i="26"/>
  <c r="E59" i="26" s="1"/>
  <c r="E40" i="26"/>
  <c r="E60" i="26" s="1"/>
  <c r="E29" i="26"/>
  <c r="E49" i="26" s="1"/>
  <c r="E11" i="26"/>
  <c r="E12" i="26"/>
  <c r="E13" i="26"/>
  <c r="E14" i="26"/>
  <c r="E15" i="26"/>
  <c r="E16" i="26"/>
  <c r="E17" i="26"/>
  <c r="E18" i="26"/>
  <c r="E19" i="26"/>
  <c r="E20" i="26"/>
  <c r="D80" i="26"/>
  <c r="B41" i="26"/>
  <c r="G12" i="25"/>
  <c r="G10" i="25"/>
  <c r="G9" i="25"/>
  <c r="M5" i="23" l="1"/>
  <c r="E5" i="23" s="1"/>
  <c r="E11" i="25"/>
  <c r="G11" i="25"/>
  <c r="E13" i="25"/>
  <c r="G13" i="25"/>
  <c r="E14" i="25"/>
  <c r="G14" i="25"/>
  <c r="E15" i="25"/>
  <c r="G15" i="25"/>
  <c r="G16" i="25"/>
  <c r="E16" i="25"/>
  <c r="G17" i="25"/>
  <c r="E17" i="25"/>
  <c r="E7" i="25"/>
  <c r="G7" i="25"/>
  <c r="H15" i="25"/>
  <c r="H14" i="25"/>
  <c r="H13" i="25"/>
  <c r="H12" i="25"/>
  <c r="H11" i="25"/>
  <c r="H10" i="25"/>
  <c r="H9" i="25"/>
  <c r="H7" i="25"/>
  <c r="H16" i="25"/>
  <c r="H17" i="25"/>
  <c r="F9" i="25"/>
  <c r="F10" i="25"/>
  <c r="F11" i="25"/>
  <c r="F12" i="25"/>
  <c r="F13" i="25"/>
  <c r="F14" i="25"/>
  <c r="F15" i="25"/>
  <c r="F16" i="25"/>
  <c r="F17" i="25"/>
  <c r="C50" i="25"/>
  <c r="G30" i="25"/>
  <c r="E29" i="25"/>
  <c r="G18" i="25"/>
  <c r="E18" i="25"/>
  <c r="H10" i="26"/>
  <c r="G50" i="26"/>
  <c r="H50" i="26" s="1"/>
  <c r="H11" i="26"/>
  <c r="G51" i="26"/>
  <c r="H51" i="26" s="1"/>
  <c r="H12" i="26"/>
  <c r="G52" i="26"/>
  <c r="H52" i="26" s="1"/>
  <c r="H13" i="26"/>
  <c r="G53" i="26"/>
  <c r="H53" i="26" s="1"/>
  <c r="G54" i="26"/>
  <c r="H54" i="26" s="1"/>
  <c r="H14" i="26"/>
  <c r="H15" i="26"/>
  <c r="G55" i="26"/>
  <c r="H55" i="26" s="1"/>
  <c r="H16" i="26"/>
  <c r="G56" i="26"/>
  <c r="H56" i="26" s="1"/>
  <c r="G57" i="26"/>
  <c r="H57" i="26" s="1"/>
  <c r="H17" i="26"/>
  <c r="H18" i="26"/>
  <c r="G58" i="26"/>
  <c r="H58" i="26" s="1"/>
  <c r="H19" i="26"/>
  <c r="G59" i="26"/>
  <c r="H59" i="26" s="1"/>
  <c r="H20" i="26"/>
  <c r="G60" i="26"/>
  <c r="H60" i="26" s="1"/>
  <c r="G49" i="26"/>
  <c r="E8" i="25"/>
  <c r="G8" i="25"/>
  <c r="C42" i="25"/>
  <c r="G40" i="25"/>
  <c r="H40" i="25" s="1"/>
  <c r="E40" i="25"/>
  <c r="F40" i="25" s="1"/>
  <c r="J40" i="25" s="1"/>
  <c r="D40" i="25"/>
  <c r="D61" i="25" s="1"/>
  <c r="G39" i="25"/>
  <c r="E39" i="25"/>
  <c r="G35" i="25"/>
  <c r="G56" i="25" s="1"/>
  <c r="D31" i="25"/>
  <c r="D52" i="25" s="1"/>
  <c r="E31" i="25"/>
  <c r="G31" i="25"/>
  <c r="G52" i="25" s="1"/>
  <c r="D32" i="25"/>
  <c r="D53" i="25" s="1"/>
  <c r="E32" i="25"/>
  <c r="G32" i="25"/>
  <c r="G53" i="25" s="1"/>
  <c r="D33" i="25"/>
  <c r="D54" i="25" s="1"/>
  <c r="C58" i="25"/>
  <c r="E33" i="25"/>
  <c r="C57" i="25"/>
  <c r="G33" i="25"/>
  <c r="G54" i="25" s="1"/>
  <c r="C56" i="25"/>
  <c r="C55" i="25"/>
  <c r="D34" i="25"/>
  <c r="D55" i="25" s="1"/>
  <c r="C61" i="25"/>
  <c r="D29" i="25"/>
  <c r="D50" i="25" s="1"/>
  <c r="E34" i="25"/>
  <c r="G34" i="25"/>
  <c r="G55" i="25" s="1"/>
  <c r="C60" i="25"/>
  <c r="G29" i="25"/>
  <c r="D35" i="25"/>
  <c r="D56" i="25" s="1"/>
  <c r="D30" i="25"/>
  <c r="D51" i="25" s="1"/>
  <c r="E30" i="25"/>
  <c r="F30" i="25" s="1"/>
  <c r="J30" i="25" s="1"/>
  <c r="D39" i="25"/>
  <c r="D60" i="25" s="1"/>
  <c r="G38" i="25"/>
  <c r="G59" i="25" s="1"/>
  <c r="E38" i="25"/>
  <c r="D38" i="25"/>
  <c r="D59" i="25" s="1"/>
  <c r="G37" i="25"/>
  <c r="G58" i="25" s="1"/>
  <c r="E37" i="25"/>
  <c r="D37" i="25"/>
  <c r="D58" i="25" s="1"/>
  <c r="E35" i="25"/>
  <c r="G36" i="25"/>
  <c r="G57" i="25" s="1"/>
  <c r="E36" i="25"/>
  <c r="D36" i="25"/>
  <c r="D57" i="25" s="1"/>
  <c r="C59" i="25"/>
  <c r="C54" i="25"/>
  <c r="C53" i="25"/>
  <c r="C52" i="25"/>
  <c r="C51" i="25"/>
  <c r="D20" i="25"/>
  <c r="D21" i="25" s="1"/>
  <c r="C20" i="25"/>
  <c r="C21" i="25" s="1"/>
  <c r="F39" i="25" l="1"/>
  <c r="E60" i="25"/>
  <c r="I5" i="23"/>
  <c r="J5" i="23" s="1"/>
  <c r="J9" i="25"/>
  <c r="I9" i="25" s="1"/>
  <c r="J10" i="25"/>
  <c r="I10" i="25" s="1"/>
  <c r="J11" i="25"/>
  <c r="I11" i="25" s="1"/>
  <c r="J12" i="25"/>
  <c r="I12" i="25" s="1"/>
  <c r="J13" i="25"/>
  <c r="I13" i="25" s="1"/>
  <c r="J14" i="25"/>
  <c r="I14" i="25" s="1"/>
  <c r="J15" i="25"/>
  <c r="I15" i="25" s="1"/>
  <c r="J16" i="25"/>
  <c r="I16" i="25" s="1"/>
  <c r="J17" i="25"/>
  <c r="I17" i="25" s="1"/>
  <c r="G61" i="25"/>
  <c r="H18" i="25"/>
  <c r="E61" i="25"/>
  <c r="F18" i="25"/>
  <c r="E50" i="25"/>
  <c r="F8" i="25"/>
  <c r="E51" i="25"/>
  <c r="H8" i="25"/>
  <c r="G51" i="25"/>
  <c r="C43" i="25"/>
  <c r="G60" i="25"/>
  <c r="H39" i="25"/>
  <c r="I39" i="25" s="1"/>
  <c r="F31" i="25"/>
  <c r="E52" i="25"/>
  <c r="F32" i="25"/>
  <c r="E53" i="25"/>
  <c r="F33" i="25"/>
  <c r="E54" i="25"/>
  <c r="F34" i="25"/>
  <c r="E55" i="25"/>
  <c r="G50" i="25"/>
  <c r="H29" i="25"/>
  <c r="F38" i="25"/>
  <c r="E59" i="25"/>
  <c r="F37" i="25"/>
  <c r="E58" i="25"/>
  <c r="F35" i="25"/>
  <c r="E56" i="25"/>
  <c r="F36" i="25"/>
  <c r="E57" i="25"/>
  <c r="I40" i="25"/>
  <c r="H49" i="26"/>
  <c r="G62" i="26"/>
  <c r="G47" i="26" s="1"/>
  <c r="D22" i="26"/>
  <c r="D23" i="26" s="1"/>
  <c r="H35" i="25"/>
  <c r="H31" i="25"/>
  <c r="H32" i="25"/>
  <c r="H33" i="25"/>
  <c r="E42" i="25"/>
  <c r="H34" i="25"/>
  <c r="G42" i="25"/>
  <c r="H30" i="25"/>
  <c r="I30" i="25" s="1"/>
  <c r="H38" i="25"/>
  <c r="H37" i="25"/>
  <c r="H36" i="25"/>
  <c r="C63" i="25"/>
  <c r="D42" i="25"/>
  <c r="D43" i="25" s="1"/>
  <c r="J39" i="25" l="1"/>
  <c r="F60" i="25"/>
  <c r="J29" i="25"/>
  <c r="I29" i="25" s="1"/>
  <c r="J31" i="25"/>
  <c r="I31" i="25" s="1"/>
  <c r="F52" i="25"/>
  <c r="J32" i="25"/>
  <c r="I32" i="25" s="1"/>
  <c r="F53" i="25"/>
  <c r="J33" i="25"/>
  <c r="I33" i="25" s="1"/>
  <c r="F54" i="25"/>
  <c r="J34" i="25"/>
  <c r="I34" i="25" s="1"/>
  <c r="F55" i="25"/>
  <c r="J38" i="25"/>
  <c r="I38" i="25" s="1"/>
  <c r="F59" i="25"/>
  <c r="J37" i="25"/>
  <c r="I37" i="25" s="1"/>
  <c r="F58" i="25"/>
  <c r="J35" i="25"/>
  <c r="I35" i="25" s="1"/>
  <c r="F56" i="25"/>
  <c r="J36" i="25"/>
  <c r="I36" i="25" s="1"/>
  <c r="F57" i="25"/>
  <c r="F61" i="25"/>
  <c r="J18" i="25"/>
  <c r="F51" i="25"/>
  <c r="J8" i="25"/>
  <c r="I8" i="25" s="1"/>
  <c r="I18" i="25"/>
  <c r="H22" i="26"/>
  <c r="H23" i="26" s="1"/>
  <c r="E22" i="26"/>
  <c r="E23" i="26" s="1"/>
  <c r="D42" i="26"/>
  <c r="D43" i="26" s="1"/>
  <c r="F42" i="25"/>
  <c r="H42" i="25"/>
  <c r="H61" i="25"/>
  <c r="H60" i="25"/>
  <c r="H59" i="25"/>
  <c r="H58" i="25"/>
  <c r="H57" i="25"/>
  <c r="H56" i="25"/>
  <c r="H55" i="25"/>
  <c r="H54" i="25"/>
  <c r="H53" i="25"/>
  <c r="H52" i="25"/>
  <c r="H51" i="25"/>
  <c r="C64" i="25"/>
  <c r="C47" i="25"/>
  <c r="I42" i="25" l="1"/>
  <c r="J42" i="25"/>
  <c r="E42" i="26"/>
  <c r="H42" i="26"/>
  <c r="H43" i="26" s="1"/>
  <c r="D62" i="26"/>
  <c r="E68" i="26" a="1"/>
  <c r="G42" i="26"/>
  <c r="C81" i="25"/>
  <c r="J61" i="25"/>
  <c r="I61" i="25"/>
  <c r="C80" i="25"/>
  <c r="J60" i="25"/>
  <c r="I60" i="25"/>
  <c r="J59" i="25"/>
  <c r="I59" i="25"/>
  <c r="J58" i="25"/>
  <c r="I58" i="25"/>
  <c r="C77" i="25"/>
  <c r="J57" i="25"/>
  <c r="I57" i="25"/>
  <c r="J56" i="25"/>
  <c r="I56" i="25"/>
  <c r="J55" i="25"/>
  <c r="I55" i="25"/>
  <c r="C74" i="25"/>
  <c r="J54" i="25"/>
  <c r="I54" i="25"/>
  <c r="I53" i="25"/>
  <c r="C72" i="25"/>
  <c r="J52" i="25"/>
  <c r="I52" i="25"/>
  <c r="J51" i="25"/>
  <c r="I51" i="25"/>
  <c r="E20" i="25"/>
  <c r="E63" i="25"/>
  <c r="G63" i="25"/>
  <c r="G20" i="25"/>
  <c r="C78" i="25"/>
  <c r="C71" i="25"/>
  <c r="C75" i="25"/>
  <c r="J43" i="25" l="1"/>
  <c r="E80" i="25"/>
  <c r="F79" i="25"/>
  <c r="G78" i="25"/>
  <c r="D81" i="25"/>
  <c r="E79" i="25"/>
  <c r="D80" i="25"/>
  <c r="F78" i="25"/>
  <c r="G77" i="25"/>
  <c r="E43" i="26"/>
  <c r="E62" i="26"/>
  <c r="E63" i="26" s="1"/>
  <c r="F64" i="26"/>
  <c r="D64" i="26"/>
  <c r="D46" i="26"/>
  <c r="F69" i="26"/>
  <c r="F70" i="26"/>
  <c r="F71" i="26"/>
  <c r="F72" i="26"/>
  <c r="F73" i="26"/>
  <c r="F74" i="26"/>
  <c r="F75" i="26"/>
  <c r="F76" i="26"/>
  <c r="F77" i="26"/>
  <c r="F78" i="26"/>
  <c r="F79" i="26"/>
  <c r="E80" i="26"/>
  <c r="F80" i="26" s="1"/>
  <c r="G43" i="26"/>
  <c r="H62" i="26"/>
  <c r="E73" i="25"/>
  <c r="F72" i="25"/>
  <c r="G71" i="25"/>
  <c r="D74" i="25"/>
  <c r="J53" i="25"/>
  <c r="J50" i="25"/>
  <c r="J63" i="25" s="1"/>
  <c r="C79" i="25"/>
  <c r="C76" i="25"/>
  <c r="C73" i="25"/>
  <c r="F20" i="25"/>
  <c r="J20" i="25"/>
  <c r="H50" i="25"/>
  <c r="H63" i="25" s="1"/>
  <c r="H20" i="25"/>
  <c r="D78" i="25"/>
  <c r="G75" i="25"/>
  <c r="F76" i="25"/>
  <c r="E77" i="25"/>
  <c r="D77" i="25"/>
  <c r="G74" i="25"/>
  <c r="F75" i="25"/>
  <c r="E76" i="25"/>
  <c r="D72" i="25"/>
  <c r="G81" i="25"/>
  <c r="F70" i="25"/>
  <c r="E71" i="25"/>
  <c r="D71" i="25"/>
  <c r="G80" i="25"/>
  <c r="F81" i="25"/>
  <c r="E70" i="25"/>
  <c r="D75" i="25"/>
  <c r="G72" i="25"/>
  <c r="F73" i="25"/>
  <c r="E74" i="25"/>
  <c r="H63" i="26" l="1"/>
  <c r="H47" i="26"/>
  <c r="D47" i="26"/>
  <c r="I20" i="25"/>
  <c r="J21" i="25" s="1"/>
  <c r="I50" i="25"/>
  <c r="I63" i="25" s="1"/>
  <c r="J65" i="25" s="1"/>
  <c r="D79" i="25"/>
  <c r="G76" i="25"/>
  <c r="F77" i="25"/>
  <c r="E78" i="25"/>
  <c r="D76" i="25"/>
  <c r="G73" i="25"/>
  <c r="F74" i="25"/>
  <c r="E75" i="25"/>
  <c r="D73" i="25"/>
  <c r="G70" i="25"/>
  <c r="F71" i="25"/>
  <c r="E72" i="25"/>
  <c r="C82" i="25"/>
  <c r="F63" i="25"/>
  <c r="H65" i="25"/>
  <c r="D70" i="25" l="1"/>
  <c r="G79" i="25"/>
  <c r="F80" i="25"/>
  <c r="E81" i="25"/>
  <c r="J26" i="16" l="1"/>
  <c r="L44" i="23" l="1"/>
  <c r="D45" i="23" a="1"/>
  <c r="D58" i="23" s="1"/>
  <c r="D25" i="23" a="1"/>
  <c r="N48" i="22"/>
  <c r="M48" i="22"/>
  <c r="L48" i="22"/>
  <c r="N46" i="22"/>
  <c r="M46" i="22"/>
  <c r="L46" i="22"/>
  <c r="N44" i="22"/>
  <c r="M44" i="22"/>
  <c r="L44" i="22"/>
  <c r="N42" i="22"/>
  <c r="M42" i="22"/>
  <c r="L42" i="22"/>
  <c r="N40" i="22"/>
  <c r="M40" i="22"/>
  <c r="L40" i="22"/>
  <c r="N38" i="22"/>
  <c r="M38" i="22"/>
  <c r="L38" i="22"/>
  <c r="N36" i="22"/>
  <c r="M36" i="22"/>
  <c r="L36" i="22"/>
  <c r="N34" i="22"/>
  <c r="M34" i="22"/>
  <c r="L34" i="22"/>
  <c r="N32" i="22"/>
  <c r="M32" i="22"/>
  <c r="L32" i="22"/>
  <c r="N30" i="22"/>
  <c r="M30" i="22"/>
  <c r="L30" i="22"/>
  <c r="N28" i="22"/>
  <c r="M28" i="22"/>
  <c r="L28" i="22"/>
  <c r="N26" i="22"/>
  <c r="M26" i="22"/>
  <c r="L26" i="22"/>
  <c r="C3" i="21"/>
  <c r="J2" i="21"/>
  <c r="M25" i="21"/>
  <c r="L26" i="21"/>
  <c r="L27" i="21"/>
  <c r="M26" i="21"/>
  <c r="N25" i="21"/>
  <c r="N26" i="21"/>
  <c r="M27" i="21"/>
  <c r="L28" i="21"/>
  <c r="L30" i="21"/>
  <c r="M29" i="21"/>
  <c r="N28" i="21"/>
  <c r="N27" i="21"/>
  <c r="M28" i="21"/>
  <c r="L29" i="21"/>
  <c r="N29" i="21"/>
  <c r="M30" i="21"/>
  <c r="L31" i="21"/>
  <c r="L32" i="21"/>
  <c r="M31" i="21"/>
  <c r="N30" i="21"/>
  <c r="N31" i="21"/>
  <c r="M32" i="21"/>
  <c r="L33" i="21"/>
  <c r="N32" i="21"/>
  <c r="M33" i="21"/>
  <c r="L34" i="21"/>
  <c r="L35" i="21"/>
  <c r="M34" i="21"/>
  <c r="N33" i="21"/>
  <c r="N36" i="21"/>
  <c r="L25" i="21"/>
  <c r="N35" i="21"/>
  <c r="M36" i="21"/>
  <c r="L36" i="21"/>
  <c r="M35" i="21"/>
  <c r="N34" i="21"/>
  <c r="C2" i="21" l="1"/>
  <c r="D59" i="23"/>
  <c r="D38" i="23" l="1"/>
  <c r="D18" i="23"/>
  <c r="D19" i="23" s="1"/>
  <c r="N35" i="16" l="1"/>
  <c r="N32" i="16"/>
  <c r="N29" i="16"/>
  <c r="P29" i="16" s="1"/>
  <c r="N38" i="16"/>
  <c r="I36" i="16"/>
  <c r="I37" i="16"/>
  <c r="G33" i="16"/>
  <c r="H33" i="16" s="1"/>
  <c r="E37" i="16"/>
  <c r="F37" i="16" s="1"/>
  <c r="D33" i="16"/>
  <c r="C29" i="23" s="1"/>
  <c r="I39" i="16"/>
  <c r="G35" i="16"/>
  <c r="H35" i="16" s="1"/>
  <c r="E31" i="16"/>
  <c r="F31" i="16" s="1"/>
  <c r="E39" i="16"/>
  <c r="F39" i="16" s="1"/>
  <c r="D35" i="16"/>
  <c r="C31" i="23" s="1"/>
  <c r="G36" i="16"/>
  <c r="H36" i="16" s="1"/>
  <c r="E40" i="16"/>
  <c r="F40" i="16" s="1"/>
  <c r="I33" i="16"/>
  <c r="G37" i="16"/>
  <c r="H37" i="16" s="1"/>
  <c r="E33" i="16"/>
  <c r="F33" i="16" s="1"/>
  <c r="D37" i="16"/>
  <c r="C33" i="23" s="1"/>
  <c r="G38" i="16"/>
  <c r="H38" i="16" s="1"/>
  <c r="D30" i="16"/>
  <c r="C26" i="23" s="1"/>
  <c r="I35" i="16"/>
  <c r="G39" i="16"/>
  <c r="H39" i="16" s="1"/>
  <c r="D31" i="16"/>
  <c r="C27" i="23" s="1"/>
  <c r="G32" i="16"/>
  <c r="H32" i="16" s="1"/>
  <c r="E36" i="16"/>
  <c r="F36" i="16" s="1"/>
  <c r="D40" i="16"/>
  <c r="C36" i="23" s="1"/>
  <c r="I30" i="16"/>
  <c r="I38" i="16"/>
  <c r="G34" i="16"/>
  <c r="H34" i="16" s="1"/>
  <c r="E30" i="16"/>
  <c r="F30" i="16" s="1"/>
  <c r="E38" i="16"/>
  <c r="F38" i="16" s="1"/>
  <c r="D34" i="16"/>
  <c r="C30" i="23" s="1"/>
  <c r="I40" i="16"/>
  <c r="E32" i="16"/>
  <c r="F32" i="16" s="1"/>
  <c r="D36" i="16"/>
  <c r="C32" i="23" s="1"/>
  <c r="G30" i="16"/>
  <c r="H30" i="16" s="1"/>
  <c r="E34" i="16"/>
  <c r="F34" i="16" s="1"/>
  <c r="D38" i="16"/>
  <c r="C34" i="23" s="1"/>
  <c r="G31" i="16"/>
  <c r="H31" i="16" s="1"/>
  <c r="E35" i="16"/>
  <c r="F35" i="16" s="1"/>
  <c r="D39" i="16"/>
  <c r="C35" i="23" s="1"/>
  <c r="G40" i="16"/>
  <c r="H40" i="16" s="1"/>
  <c r="D32" i="16"/>
  <c r="C28" i="23" s="1"/>
  <c r="I31" i="16"/>
  <c r="I32" i="16"/>
  <c r="I34" i="16"/>
  <c r="D39" i="23"/>
  <c r="M35" i="16" l="1" a="1"/>
  <c r="M32" i="16" a="1"/>
  <c r="M33" i="23"/>
  <c r="E33" i="23" s="1"/>
  <c r="M27" i="23"/>
  <c r="E27" i="23" s="1"/>
  <c r="M35" i="23"/>
  <c r="E35" i="23"/>
  <c r="M36" i="23"/>
  <c r="E36" i="23"/>
  <c r="M29" i="23"/>
  <c r="E29" i="23" s="1"/>
  <c r="M32" i="23"/>
  <c r="E32" i="23" s="1"/>
  <c r="M26" i="23"/>
  <c r="E26" i="23" s="1"/>
  <c r="M34" i="23"/>
  <c r="E34" i="23" s="1"/>
  <c r="M28" i="23"/>
  <c r="E28" i="23" s="1"/>
  <c r="M30" i="23"/>
  <c r="E30" i="23" s="1"/>
  <c r="M31" i="23"/>
  <c r="E31" i="23" s="1"/>
  <c r="N41" i="16"/>
  <c r="M38" i="16" a="1"/>
  <c r="E7" i="16"/>
  <c r="I7" i="16"/>
  <c r="J50" i="16" s="1"/>
  <c r="G7" i="16"/>
  <c r="N8" i="16"/>
  <c r="E10" i="16"/>
  <c r="F10" i="16" s="1"/>
  <c r="G10" i="16"/>
  <c r="H10" i="16" s="1"/>
  <c r="I10" i="16"/>
  <c r="I16" i="16"/>
  <c r="E16" i="16"/>
  <c r="F16" i="16" s="1"/>
  <c r="G16" i="16"/>
  <c r="H16" i="16" s="1"/>
  <c r="C55" i="16"/>
  <c r="I12" i="16"/>
  <c r="G12" i="16"/>
  <c r="H12" i="16" s="1"/>
  <c r="E12" i="16"/>
  <c r="F12" i="16" s="1"/>
  <c r="C51" i="16"/>
  <c r="I8" i="16"/>
  <c r="G8" i="16"/>
  <c r="H8" i="16" s="1"/>
  <c r="E8" i="16"/>
  <c r="F8" i="16" s="1"/>
  <c r="C61" i="16"/>
  <c r="E18" i="16"/>
  <c r="F18" i="16" s="1"/>
  <c r="G18" i="16"/>
  <c r="H18" i="16" s="1"/>
  <c r="I18" i="16"/>
  <c r="C58" i="16"/>
  <c r="G15" i="16"/>
  <c r="H15" i="16" s="1"/>
  <c r="E15" i="16"/>
  <c r="F15" i="16" s="1"/>
  <c r="I15" i="16"/>
  <c r="C57" i="16"/>
  <c r="E14" i="16"/>
  <c r="F14" i="16" s="1"/>
  <c r="G14" i="16"/>
  <c r="H14" i="16" s="1"/>
  <c r="I14" i="16"/>
  <c r="C60" i="16"/>
  <c r="E17" i="16"/>
  <c r="F17" i="16" s="1"/>
  <c r="I17" i="16"/>
  <c r="G17" i="16"/>
  <c r="H17" i="16" s="1"/>
  <c r="I13" i="16"/>
  <c r="G13" i="16"/>
  <c r="H13" i="16" s="1"/>
  <c r="E13" i="16"/>
  <c r="F13" i="16" s="1"/>
  <c r="C54" i="16"/>
  <c r="G11" i="16"/>
  <c r="H11" i="16" s="1"/>
  <c r="I11" i="16"/>
  <c r="E11" i="16"/>
  <c r="F11" i="16" s="1"/>
  <c r="C52" i="16"/>
  <c r="I9" i="16"/>
  <c r="E9" i="16"/>
  <c r="F9" i="16" s="1"/>
  <c r="G9" i="16"/>
  <c r="H9" i="16" s="1"/>
  <c r="C56" i="16"/>
  <c r="N14" i="16"/>
  <c r="C53" i="16"/>
  <c r="N11" i="16"/>
  <c r="C59" i="16"/>
  <c r="N17" i="16"/>
  <c r="G29" i="16"/>
  <c r="H29" i="16" s="1"/>
  <c r="D29" i="16"/>
  <c r="C42" i="16"/>
  <c r="E29" i="16"/>
  <c r="N51" i="16"/>
  <c r="D51" i="16"/>
  <c r="D59" i="16"/>
  <c r="D61" i="16"/>
  <c r="D52" i="16"/>
  <c r="D58" i="16"/>
  <c r="D56" i="16"/>
  <c r="D60" i="16"/>
  <c r="D55" i="16"/>
  <c r="D57" i="16"/>
  <c r="D54" i="16"/>
  <c r="C20" i="16"/>
  <c r="C21" i="16" s="1"/>
  <c r="D53" i="16"/>
  <c r="D50" i="16" l="1"/>
  <c r="D63" i="16" s="1"/>
  <c r="C25" i="23"/>
  <c r="C38" i="23" s="1"/>
  <c r="M8" i="23"/>
  <c r="M14" i="23"/>
  <c r="M10" i="23"/>
  <c r="E10" i="23" s="1"/>
  <c r="M6" i="23"/>
  <c r="E6" i="23"/>
  <c r="M16" i="23"/>
  <c r="M13" i="23"/>
  <c r="F13" i="21"/>
  <c r="M12" i="23"/>
  <c r="M15" i="23"/>
  <c r="F15" i="21"/>
  <c r="M11" i="23"/>
  <c r="E11" i="23" s="1"/>
  <c r="M9" i="23"/>
  <c r="F9" i="21" s="1"/>
  <c r="M7" i="23"/>
  <c r="F7" i="21" s="1"/>
  <c r="N60" i="16"/>
  <c r="N54" i="16"/>
  <c r="N57" i="16"/>
  <c r="C43" i="16"/>
  <c r="D42" i="16"/>
  <c r="D43" i="16" s="1"/>
  <c r="G42" i="16"/>
  <c r="F29" i="16"/>
  <c r="E42" i="16"/>
  <c r="I42" i="16"/>
  <c r="C63" i="16"/>
  <c r="C47" i="16" s="1"/>
  <c r="D20" i="16"/>
  <c r="D21" i="16" s="1"/>
  <c r="M29" i="16" l="1" a="1"/>
  <c r="M41" i="16" s="1"/>
  <c r="M42" i="16" s="1"/>
  <c r="J43" i="16" s="1"/>
  <c r="M25" i="23"/>
  <c r="D64" i="16"/>
  <c r="H13" i="21"/>
  <c r="E13" i="23"/>
  <c r="H14" i="21"/>
  <c r="F14" i="21"/>
  <c r="E14" i="23"/>
  <c r="H16" i="21"/>
  <c r="E16" i="23"/>
  <c r="F16" i="21"/>
  <c r="H11" i="21"/>
  <c r="F11" i="21"/>
  <c r="H8" i="21"/>
  <c r="F8" i="21"/>
  <c r="E8" i="23"/>
  <c r="H10" i="21"/>
  <c r="F10" i="21"/>
  <c r="H6" i="21"/>
  <c r="F6" i="21"/>
  <c r="H12" i="21"/>
  <c r="E12" i="23"/>
  <c r="F12" i="21"/>
  <c r="H15" i="21"/>
  <c r="E15" i="23"/>
  <c r="H9" i="21"/>
  <c r="E9" i="23"/>
  <c r="H7" i="21"/>
  <c r="E7" i="23"/>
  <c r="F42" i="16"/>
  <c r="H42" i="16"/>
  <c r="C18" i="21"/>
  <c r="D18" i="21"/>
  <c r="D19" i="21" s="1"/>
  <c r="C64" i="16"/>
  <c r="J42" i="16"/>
  <c r="E50" i="16"/>
  <c r="E61" i="16"/>
  <c r="E58" i="16"/>
  <c r="E53" i="16"/>
  <c r="E60" i="16"/>
  <c r="E54" i="16"/>
  <c r="E55" i="16"/>
  <c r="E52" i="16"/>
  <c r="E56" i="16"/>
  <c r="E57" i="16"/>
  <c r="E59" i="16"/>
  <c r="E51" i="16"/>
  <c r="F51" i="16"/>
  <c r="G53" i="16"/>
  <c r="H53" i="16"/>
  <c r="G51" i="16"/>
  <c r="H51" i="16"/>
  <c r="G54" i="16"/>
  <c r="G58" i="16"/>
  <c r="H58" i="16"/>
  <c r="F55" i="16"/>
  <c r="F60" i="16"/>
  <c r="H60" i="16"/>
  <c r="G60" i="16"/>
  <c r="F52" i="16"/>
  <c r="G59" i="16"/>
  <c r="H59" i="16"/>
  <c r="F61" i="16"/>
  <c r="G50" i="16"/>
  <c r="F54" i="16"/>
  <c r="H52" i="16"/>
  <c r="G52" i="16"/>
  <c r="H61" i="16"/>
  <c r="G61" i="16"/>
  <c r="F58" i="16"/>
  <c r="H55" i="16"/>
  <c r="G55" i="16"/>
  <c r="H56" i="16"/>
  <c r="G56" i="16"/>
  <c r="H57" i="16"/>
  <c r="G57" i="16"/>
  <c r="J13" i="21" l="1"/>
  <c r="C33" i="21"/>
  <c r="H5" i="21"/>
  <c r="E25" i="23"/>
  <c r="E45" i="23" s="1"/>
  <c r="F5" i="21"/>
  <c r="J14" i="21"/>
  <c r="C34" i="21"/>
  <c r="C36" i="21"/>
  <c r="J16" i="21"/>
  <c r="C31" i="21"/>
  <c r="J11" i="21"/>
  <c r="C35" i="21"/>
  <c r="J15" i="21"/>
  <c r="J9" i="21"/>
  <c r="C29" i="21"/>
  <c r="C27" i="21"/>
  <c r="J7" i="21"/>
  <c r="C28" i="21"/>
  <c r="J8" i="21"/>
  <c r="J10" i="21"/>
  <c r="C30" i="21"/>
  <c r="J6" i="21"/>
  <c r="C26" i="21"/>
  <c r="J12" i="21"/>
  <c r="C32" i="21"/>
  <c r="C19" i="21"/>
  <c r="I56" i="16"/>
  <c r="J13" i="16"/>
  <c r="I57" i="16"/>
  <c r="J14" i="16"/>
  <c r="I51" i="16"/>
  <c r="J8" i="16"/>
  <c r="I55" i="16"/>
  <c r="J12" i="16"/>
  <c r="I60" i="16"/>
  <c r="J17" i="16"/>
  <c r="I59" i="16"/>
  <c r="J16" i="16"/>
  <c r="G14" i="23" s="1"/>
  <c r="I54" i="16"/>
  <c r="J11" i="16"/>
  <c r="I53" i="16"/>
  <c r="J10" i="16"/>
  <c r="I52" i="16"/>
  <c r="J9" i="16"/>
  <c r="I58" i="16"/>
  <c r="J15" i="16"/>
  <c r="I50" i="16"/>
  <c r="I61" i="16"/>
  <c r="J18" i="16"/>
  <c r="F59" i="16"/>
  <c r="C79" i="16" s="1"/>
  <c r="F56" i="16"/>
  <c r="C76" i="16" s="1"/>
  <c r="F53" i="16"/>
  <c r="C73" i="16" s="1"/>
  <c r="M6" i="16"/>
  <c r="E18" i="21"/>
  <c r="G18" i="21"/>
  <c r="I18" i="21"/>
  <c r="F15" i="23"/>
  <c r="F14" i="23"/>
  <c r="F12" i="23"/>
  <c r="F13" i="23"/>
  <c r="F16" i="23"/>
  <c r="F6" i="23"/>
  <c r="F11" i="23"/>
  <c r="F8" i="23"/>
  <c r="F10" i="23"/>
  <c r="F9" i="23"/>
  <c r="F7" i="23"/>
  <c r="C48" i="16"/>
  <c r="C71" i="16"/>
  <c r="C81" i="16"/>
  <c r="G63" i="16"/>
  <c r="G48" i="16" s="1"/>
  <c r="C75" i="16"/>
  <c r="C78" i="16"/>
  <c r="C80" i="16"/>
  <c r="C72" i="16"/>
  <c r="E63" i="16"/>
  <c r="E48" i="16" s="1"/>
  <c r="E20" i="16"/>
  <c r="G20" i="16"/>
  <c r="I20" i="16"/>
  <c r="F57" i="16"/>
  <c r="C77" i="16" s="1"/>
  <c r="H54" i="16"/>
  <c r="C74" i="16" s="1"/>
  <c r="C25" i="21" l="1"/>
  <c r="D25" i="21" s="1"/>
  <c r="J5" i="21"/>
  <c r="J56" i="16"/>
  <c r="G11" i="23"/>
  <c r="J57" i="16"/>
  <c r="G12" i="23"/>
  <c r="M8" i="16" a="1"/>
  <c r="G6" i="23"/>
  <c r="G18" i="23" s="1"/>
  <c r="J55" i="16"/>
  <c r="G10" i="23"/>
  <c r="J60" i="16"/>
  <c r="G15" i="23"/>
  <c r="I14" i="23"/>
  <c r="J14" i="23" s="1"/>
  <c r="H14" i="23"/>
  <c r="J54" i="16"/>
  <c r="G9" i="23"/>
  <c r="J53" i="16"/>
  <c r="G8" i="23"/>
  <c r="J52" i="16"/>
  <c r="G7" i="23"/>
  <c r="J58" i="16"/>
  <c r="G13" i="23"/>
  <c r="J61" i="16"/>
  <c r="G16" i="23"/>
  <c r="I63" i="16"/>
  <c r="N20" i="16"/>
  <c r="M17" i="16" a="1"/>
  <c r="J59" i="16"/>
  <c r="M60" i="16" s="1" a="1"/>
  <c r="D79" i="16"/>
  <c r="H79" i="16"/>
  <c r="D76" i="16"/>
  <c r="H76" i="16"/>
  <c r="D73" i="16"/>
  <c r="H73" i="16"/>
  <c r="D71" i="16"/>
  <c r="E70" i="16"/>
  <c r="H71" i="16"/>
  <c r="D81" i="16"/>
  <c r="H81" i="16"/>
  <c r="D75" i="16"/>
  <c r="H75" i="16"/>
  <c r="D78" i="16"/>
  <c r="H78" i="16"/>
  <c r="D80" i="16"/>
  <c r="H80" i="16"/>
  <c r="D72" i="16"/>
  <c r="H72" i="16"/>
  <c r="D77" i="16"/>
  <c r="H77" i="16"/>
  <c r="D74" i="16"/>
  <c r="H74" i="16"/>
  <c r="M14" i="16" a="1"/>
  <c r="F50" i="16"/>
  <c r="M11" i="16" a="1"/>
  <c r="F18" i="21"/>
  <c r="H18" i="21"/>
  <c r="M57" i="16" a="1"/>
  <c r="M54" i="16" a="1"/>
  <c r="G70" i="16"/>
  <c r="E72" i="16"/>
  <c r="F71" i="16"/>
  <c r="E80" i="16"/>
  <c r="H5" i="23"/>
  <c r="F5" i="23"/>
  <c r="E18" i="23"/>
  <c r="M18" i="21"/>
  <c r="F77" i="16"/>
  <c r="E78" i="16"/>
  <c r="G78" i="16"/>
  <c r="G76" i="16"/>
  <c r="F79" i="16"/>
  <c r="F72" i="16"/>
  <c r="E73" i="16"/>
  <c r="G71" i="16"/>
  <c r="G75" i="16"/>
  <c r="E77" i="16"/>
  <c r="F76" i="16"/>
  <c r="F81" i="16"/>
  <c r="G80" i="16"/>
  <c r="G81" i="16"/>
  <c r="F70" i="16"/>
  <c r="E71" i="16"/>
  <c r="G74" i="16"/>
  <c r="F75" i="16"/>
  <c r="E76" i="16"/>
  <c r="E75" i="16"/>
  <c r="G73" i="16"/>
  <c r="F74" i="16"/>
  <c r="E74" i="16"/>
  <c r="F73" i="16"/>
  <c r="G72" i="16"/>
  <c r="F78" i="16"/>
  <c r="G77" i="16"/>
  <c r="E79" i="16"/>
  <c r="J20" i="16"/>
  <c r="J51" i="16"/>
  <c r="H50" i="16"/>
  <c r="H20" i="16"/>
  <c r="F20" i="16"/>
  <c r="M20" i="16" s="1"/>
  <c r="M21" i="16" s="1"/>
  <c r="J4" i="16"/>
  <c r="J18" i="21" l="1"/>
  <c r="L18" i="21" s="1"/>
  <c r="J19" i="21" s="1"/>
  <c r="L5" i="21"/>
  <c r="C70" i="16"/>
  <c r="H11" i="23"/>
  <c r="I11" i="23"/>
  <c r="J11" i="23" s="1"/>
  <c r="I12" i="23"/>
  <c r="J12" i="23" s="1"/>
  <c r="H12" i="23"/>
  <c r="H6" i="23"/>
  <c r="I6" i="23"/>
  <c r="I10" i="23"/>
  <c r="J10" i="23" s="1"/>
  <c r="H10" i="23"/>
  <c r="H15" i="23"/>
  <c r="I15" i="23"/>
  <c r="J15" i="23" s="1"/>
  <c r="I9" i="23"/>
  <c r="J9" i="23" s="1"/>
  <c r="H9" i="23"/>
  <c r="I8" i="23"/>
  <c r="J8" i="23" s="1"/>
  <c r="H8" i="23"/>
  <c r="I7" i="23"/>
  <c r="J7" i="23" s="1"/>
  <c r="H7" i="23"/>
  <c r="I13" i="23"/>
  <c r="J13" i="23" s="1"/>
  <c r="H13" i="23"/>
  <c r="I16" i="23"/>
  <c r="J16" i="23" s="1"/>
  <c r="H16" i="23"/>
  <c r="N63" i="16"/>
  <c r="I48" i="16"/>
  <c r="J21" i="16"/>
  <c r="F63" i="16"/>
  <c r="J47" i="16"/>
  <c r="H63" i="16"/>
  <c r="G64" i="16"/>
  <c r="M51" i="16" a="1"/>
  <c r="G45" i="23"/>
  <c r="I45" i="23" s="1"/>
  <c r="J45" i="23" s="1"/>
  <c r="K45" i="23" s="1"/>
  <c r="H26" i="23"/>
  <c r="G55" i="23"/>
  <c r="H55" i="23" s="1"/>
  <c r="H30" i="23"/>
  <c r="G46" i="23"/>
  <c r="H46" i="23" s="1"/>
  <c r="H27" i="23"/>
  <c r="H31" i="23"/>
  <c r="H36" i="23"/>
  <c r="G47" i="23"/>
  <c r="H47" i="23" s="1"/>
  <c r="H33" i="23"/>
  <c r="H29" i="23"/>
  <c r="G51" i="23"/>
  <c r="H51" i="23" s="1"/>
  <c r="G56" i="23"/>
  <c r="H56" i="23" s="1"/>
  <c r="H28" i="23"/>
  <c r="H34" i="23"/>
  <c r="G53" i="23"/>
  <c r="H53" i="23" s="1"/>
  <c r="G54" i="23"/>
  <c r="H54" i="23" s="1"/>
  <c r="H32" i="23"/>
  <c r="G52" i="23"/>
  <c r="H52" i="23" s="1"/>
  <c r="G50" i="23"/>
  <c r="H50" i="23" s="1"/>
  <c r="G48" i="23"/>
  <c r="H48" i="23" s="1"/>
  <c r="G49" i="23"/>
  <c r="H49" i="23" s="1"/>
  <c r="H35" i="23"/>
  <c r="J63" i="16"/>
  <c r="E54" i="23"/>
  <c r="I35" i="23"/>
  <c r="E46" i="23"/>
  <c r="F29" i="23"/>
  <c r="E55" i="23"/>
  <c r="E56" i="23"/>
  <c r="I30" i="23"/>
  <c r="E48" i="23"/>
  <c r="E50" i="23"/>
  <c r="E51" i="23"/>
  <c r="F32" i="23"/>
  <c r="E47" i="23"/>
  <c r="F34" i="23"/>
  <c r="E52" i="23"/>
  <c r="I36" i="23"/>
  <c r="I28" i="23"/>
  <c r="E49" i="23"/>
  <c r="F27" i="23"/>
  <c r="I27" i="23"/>
  <c r="I32" i="23"/>
  <c r="I29" i="23"/>
  <c r="F36" i="23"/>
  <c r="F33" i="23"/>
  <c r="F30" i="23"/>
  <c r="F31" i="23"/>
  <c r="F28" i="23"/>
  <c r="I33" i="23"/>
  <c r="I31" i="23"/>
  <c r="E53" i="23"/>
  <c r="F26" i="23"/>
  <c r="I34" i="23"/>
  <c r="F35" i="23"/>
  <c r="I26" i="23"/>
  <c r="I18" i="23" l="1"/>
  <c r="J6" i="23"/>
  <c r="E64" i="16"/>
  <c r="I64" i="16"/>
  <c r="H70" i="16"/>
  <c r="H82" i="16" s="1"/>
  <c r="D70" i="16"/>
  <c r="C2" i="23"/>
  <c r="C19" i="23"/>
  <c r="H45" i="23"/>
  <c r="J35" i="23"/>
  <c r="C55" i="23"/>
  <c r="J30" i="23"/>
  <c r="C50" i="23"/>
  <c r="J36" i="23"/>
  <c r="C56" i="23"/>
  <c r="J28" i="23"/>
  <c r="C48" i="23"/>
  <c r="J27" i="23"/>
  <c r="C47" i="23"/>
  <c r="J32" i="23"/>
  <c r="C52" i="23"/>
  <c r="J29" i="23"/>
  <c r="C49" i="23"/>
  <c r="J33" i="23"/>
  <c r="C53" i="23"/>
  <c r="J31" i="23"/>
  <c r="C51" i="23"/>
  <c r="J34" i="23"/>
  <c r="C54" i="23"/>
  <c r="J26" i="23"/>
  <c r="C46" i="23"/>
  <c r="H65" i="16"/>
  <c r="M63" i="16"/>
  <c r="M64" i="16" s="1"/>
  <c r="E6" i="22" a="1"/>
  <c r="D6" i="22" s="1"/>
  <c r="F80" i="16"/>
  <c r="E81" i="16"/>
  <c r="G79" i="16"/>
  <c r="H25" i="23"/>
  <c r="G38" i="23"/>
  <c r="F55" i="23"/>
  <c r="I55" i="23"/>
  <c r="J55" i="23" s="1"/>
  <c r="K55" i="23" s="1"/>
  <c r="L55" i="23" s="1"/>
  <c r="I49" i="23"/>
  <c r="J49" i="23" s="1"/>
  <c r="K49" i="23" s="1"/>
  <c r="L49" i="23" s="1"/>
  <c r="F49" i="23"/>
  <c r="F48" i="23"/>
  <c r="I48" i="23"/>
  <c r="J48" i="23" s="1"/>
  <c r="K48" i="23" s="1"/>
  <c r="L48" i="23" s="1"/>
  <c r="I25" i="23"/>
  <c r="E38" i="23"/>
  <c r="F25" i="23"/>
  <c r="I53" i="23"/>
  <c r="J53" i="23" s="1"/>
  <c r="K53" i="23" s="1"/>
  <c r="L53" i="23" s="1"/>
  <c r="F53" i="23"/>
  <c r="F54" i="23"/>
  <c r="I54" i="23"/>
  <c r="J54" i="23" s="1"/>
  <c r="K54" i="23" s="1"/>
  <c r="L54" i="23" s="1"/>
  <c r="F47" i="23"/>
  <c r="I47" i="23"/>
  <c r="J47" i="23" s="1"/>
  <c r="K47" i="23" s="1"/>
  <c r="L47" i="23" s="1"/>
  <c r="I46" i="23"/>
  <c r="J46" i="23" s="1"/>
  <c r="K46" i="23" s="1"/>
  <c r="L46" i="23" s="1"/>
  <c r="F46" i="23"/>
  <c r="F51" i="23"/>
  <c r="I51" i="23"/>
  <c r="J51" i="23" s="1"/>
  <c r="K51" i="23" s="1"/>
  <c r="L51" i="23" s="1"/>
  <c r="F50" i="23"/>
  <c r="I50" i="23"/>
  <c r="J50" i="23" s="1"/>
  <c r="K50" i="23" s="1"/>
  <c r="L50" i="23" s="1"/>
  <c r="I52" i="23"/>
  <c r="J52" i="23" s="1"/>
  <c r="K52" i="23" s="1"/>
  <c r="L52" i="23" s="1"/>
  <c r="F52" i="23"/>
  <c r="F56" i="23"/>
  <c r="I56" i="23"/>
  <c r="C37" i="21" l="1"/>
  <c r="C45" i="23"/>
  <c r="C58" i="23" s="1"/>
  <c r="C59" i="23" s="1"/>
  <c r="F64" i="16"/>
  <c r="J65" i="16"/>
  <c r="J56" i="23"/>
  <c r="K56" i="23" s="1"/>
  <c r="L56" i="23" s="1"/>
  <c r="H64" i="16"/>
  <c r="D65" i="16"/>
  <c r="J64" i="16"/>
  <c r="F34" i="21"/>
  <c r="G33" i="21"/>
  <c r="E35" i="21"/>
  <c r="D36" i="21"/>
  <c r="D27" i="21"/>
  <c r="G36" i="21"/>
  <c r="F25" i="21"/>
  <c r="E26" i="21"/>
  <c r="D26" i="21"/>
  <c r="E25" i="21"/>
  <c r="G35" i="21"/>
  <c r="F36" i="21"/>
  <c r="E58" i="23"/>
  <c r="D9" i="22"/>
  <c r="D32" i="22" s="1"/>
  <c r="D28" i="21"/>
  <c r="F26" i="21"/>
  <c r="E27" i="21"/>
  <c r="G25" i="21"/>
  <c r="G31" i="21"/>
  <c r="F32" i="21"/>
  <c r="D34" i="21"/>
  <c r="E33" i="21"/>
  <c r="F33" i="21"/>
  <c r="E34" i="21"/>
  <c r="G32" i="21"/>
  <c r="D35" i="21"/>
  <c r="E31" i="21"/>
  <c r="F30" i="21"/>
  <c r="G29" i="21"/>
  <c r="D32" i="21"/>
  <c r="D17" i="22"/>
  <c r="D48" i="22" s="1"/>
  <c r="D14" i="22"/>
  <c r="D42" i="22" s="1"/>
  <c r="D10" i="22"/>
  <c r="D34" i="22" s="1"/>
  <c r="D11" i="22"/>
  <c r="D36" i="22" s="1"/>
  <c r="D15" i="22"/>
  <c r="D44" i="22" s="1"/>
  <c r="D13" i="22"/>
  <c r="D40" i="22" s="1"/>
  <c r="D16" i="22"/>
  <c r="D46" i="22" s="1"/>
  <c r="D7" i="22"/>
  <c r="D28" i="22" s="1"/>
  <c r="D8" i="22"/>
  <c r="D30" i="22" s="1"/>
  <c r="D12" i="22"/>
  <c r="D38" i="22" s="1"/>
  <c r="F31" i="21"/>
  <c r="E32" i="21"/>
  <c r="D33" i="21"/>
  <c r="G30" i="21"/>
  <c r="D30" i="21"/>
  <c r="E29" i="21"/>
  <c r="F28" i="21"/>
  <c r="G27" i="21"/>
  <c r="E30" i="21"/>
  <c r="G28" i="21"/>
  <c r="F29" i="21"/>
  <c r="D31" i="21"/>
  <c r="D29" i="21"/>
  <c r="E28" i="21"/>
  <c r="G26" i="21"/>
  <c r="F27" i="21"/>
  <c r="G58" i="23"/>
  <c r="I38" i="23"/>
  <c r="J25" i="23"/>
  <c r="F45" i="23"/>
  <c r="C22" i="23" l="1"/>
  <c r="C39" i="23"/>
  <c r="G36" i="22"/>
  <c r="G11" i="22" s="1"/>
  <c r="F38" i="22"/>
  <c r="F12" i="22" s="1"/>
  <c r="E40" i="22"/>
  <c r="H34" i="22"/>
  <c r="H10" i="22" s="1"/>
  <c r="F42" i="22"/>
  <c r="F14" i="22" s="1"/>
  <c r="E44" i="22"/>
  <c r="G40" i="22"/>
  <c r="G13" i="22" s="1"/>
  <c r="H38" i="22"/>
  <c r="H12" i="22" s="1"/>
  <c r="E28" i="22"/>
  <c r="G48" i="22"/>
  <c r="G17" i="22" s="1"/>
  <c r="H46" i="22"/>
  <c r="H16" i="22" s="1"/>
  <c r="F26" i="22"/>
  <c r="F6" i="22" s="1"/>
  <c r="E19" i="22"/>
  <c r="E20" i="22" s="1"/>
  <c r="G34" i="21"/>
  <c r="E36" i="21"/>
  <c r="F35" i="21"/>
  <c r="F30" i="22"/>
  <c r="F8" i="22" s="1"/>
  <c r="E32" i="22"/>
  <c r="H26" i="22"/>
  <c r="H6" i="22" s="1"/>
  <c r="G28" i="22"/>
  <c r="G7" i="22" s="1"/>
  <c r="F32" i="22"/>
  <c r="F9" i="22" s="1"/>
  <c r="E34" i="22"/>
  <c r="H28" i="22"/>
  <c r="H7" i="22" s="1"/>
  <c r="G30" i="22"/>
  <c r="G8" i="22" s="1"/>
  <c r="E36" i="22"/>
  <c r="H30" i="22"/>
  <c r="H8" i="22" s="1"/>
  <c r="G32" i="22"/>
  <c r="G9" i="22" s="1"/>
  <c r="F34" i="22"/>
  <c r="F10" i="22" s="1"/>
  <c r="H32" i="22"/>
  <c r="H9" i="22" s="1"/>
  <c r="F36" i="22"/>
  <c r="F11" i="22" s="1"/>
  <c r="E38" i="22"/>
  <c r="G34" i="22"/>
  <c r="G10" i="22" s="1"/>
  <c r="G38" i="22"/>
  <c r="G12" i="22" s="1"/>
  <c r="H36" i="22"/>
  <c r="H11" i="22" s="1"/>
  <c r="F40" i="22"/>
  <c r="F13" i="22" s="1"/>
  <c r="E42" i="22"/>
  <c r="H40" i="22"/>
  <c r="H13" i="22" s="1"/>
  <c r="F44" i="22"/>
  <c r="F15" i="22" s="1"/>
  <c r="E46" i="22"/>
  <c r="G42" i="22"/>
  <c r="G14" i="22" s="1"/>
  <c r="G26" i="22"/>
  <c r="G6" i="22" s="1"/>
  <c r="H48" i="22"/>
  <c r="H17" i="22" s="1"/>
  <c r="F28" i="22"/>
  <c r="F7" i="22" s="1"/>
  <c r="E30" i="22"/>
  <c r="G44" i="22"/>
  <c r="G15" i="22" s="1"/>
  <c r="H42" i="22"/>
  <c r="H14" i="22" s="1"/>
  <c r="F46" i="22"/>
  <c r="F16" i="22" s="1"/>
  <c r="E48" i="22"/>
  <c r="I58" i="23"/>
  <c r="C61" i="23"/>
  <c r="C42" i="23" l="1"/>
  <c r="L11" i="22"/>
  <c r="L9" i="22"/>
  <c r="L10" i="22"/>
  <c r="L13" i="22"/>
  <c r="L6" i="22"/>
  <c r="L7" i="22"/>
  <c r="L14" i="22"/>
  <c r="L8" i="22"/>
  <c r="L12" i="22"/>
  <c r="D19" i="22"/>
  <c r="D26" i="22"/>
  <c r="E26" i="22" s="1"/>
  <c r="D61" i="23"/>
  <c r="C62" i="23"/>
  <c r="D62" i="23" s="1"/>
  <c r="L45" i="23"/>
  <c r="L57" i="23" s="1"/>
  <c r="H44" i="22" l="1"/>
  <c r="H15" i="22" s="1"/>
  <c r="G46" i="22"/>
  <c r="G16" i="22" s="1"/>
  <c r="F48" i="22"/>
  <c r="F17" i="22" s="1"/>
  <c r="D20" i="22"/>
  <c r="D3" i="22"/>
  <c r="D63" i="23"/>
  <c r="F19" i="22" l="1"/>
  <c r="L17" i="22"/>
  <c r="G19" i="22"/>
  <c r="L16" i="22"/>
  <c r="H19" i="22"/>
  <c r="L15" i="22"/>
  <c r="D63" i="25" l="1"/>
  <c r="C48" i="25" s="1"/>
  <c r="D64" i="25" l="1"/>
  <c r="E6" i="22"/>
  <c r="D45" i="23"/>
  <c r="D25" i="23"/>
  <c r="C5" i="23"/>
  <c r="M60" i="16"/>
  <c r="M57" i="16"/>
  <c r="M54" i="16"/>
  <c r="M51" i="16"/>
  <c r="M38" i="16"/>
  <c r="M35" i="16"/>
  <c r="M32" i="16"/>
  <c r="M29" i="16"/>
  <c r="M17" i="16"/>
  <c r="M14" i="16"/>
  <c r="M11" i="16"/>
  <c r="M8" i="16"/>
  <c r="E68" i="2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<sst xmlns="http://schemas.openxmlformats.org/spreadsheetml/2006/main" count="214" uniqueCount="78">
  <si>
    <t>QUANT.</t>
  </si>
  <si>
    <t>12 MESES</t>
  </si>
  <si>
    <t>VALOR</t>
  </si>
  <si>
    <t>Comissão</t>
  </si>
  <si>
    <t>CONSOLIDADO</t>
  </si>
  <si>
    <t>NACIONAL</t>
  </si>
  <si>
    <t>REVENDA</t>
  </si>
  <si>
    <t>VENDA</t>
  </si>
  <si>
    <t>BENEFICIAMENTO</t>
  </si>
  <si>
    <t>Ciclo abastecimento</t>
  </si>
  <si>
    <t>ESTOQUE</t>
  </si>
  <si>
    <t>CHEGANDO</t>
  </si>
  <si>
    <t>EM TRANSITO</t>
  </si>
  <si>
    <t>EM PRODUÇÃO</t>
  </si>
  <si>
    <t>CICLO 90 DIAS(30 PARA PRODUZIR E 60 VIAGEM E DESEMBARAÇO)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</si>
  <si>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</si>
  <si>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</si>
  <si>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</si>
  <si>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</si>
  <si>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</si>
  <si>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</si>
  <si>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</si>
  <si>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</si>
  <si>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</si>
  <si>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</si>
  <si>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</si>
  <si>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</si>
  <si>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VENDA GERAL-BEIRA RIO</t>
  </si>
  <si>
    <t>COMPRAS-GERAL- BASES E PRODUTO ACABADO</t>
  </si>
  <si>
    <t>MÊS</t>
  </si>
  <si>
    <t>PRODUÇÃO GERAL-BEIRA RIO</t>
  </si>
  <si>
    <t>QUANTIDADE</t>
  </si>
  <si>
    <t>DIAS UTEIS</t>
  </si>
  <si>
    <t>TOTAL</t>
  </si>
  <si>
    <t>MEDIA DIA</t>
  </si>
  <si>
    <t>PRODUÇÃO GERAL</t>
  </si>
  <si>
    <t>DIA</t>
  </si>
  <si>
    <t>COM</t>
  </si>
  <si>
    <t>REP</t>
  </si>
  <si>
    <t>EXECUÇÃO</t>
  </si>
  <si>
    <t>Média dia venda</t>
  </si>
  <si>
    <t>Média dia revenda</t>
  </si>
  <si>
    <t>VENDA GERAL CONSOLIDADA</t>
  </si>
  <si>
    <t>Média dia geral</t>
  </si>
  <si>
    <t>VENDA GERAL-BRASIL</t>
  </si>
  <si>
    <t>PRODUÇÃO GERAL-BRASIL</t>
  </si>
  <si>
    <t>1º TRI</t>
  </si>
  <si>
    <t>2º TRI</t>
  </si>
  <si>
    <t>3º TRI</t>
  </si>
  <si>
    <t>4º TRI</t>
  </si>
  <si>
    <t>ANO</t>
  </si>
  <si>
    <t>Base $</t>
  </si>
  <si>
    <t>Comissão-COM</t>
  </si>
  <si>
    <t>STK</t>
  </si>
  <si>
    <t>FATURAMENTO</t>
  </si>
  <si>
    <t>FAT.METRAGEM</t>
  </si>
  <si>
    <t>IMPORTADO</t>
  </si>
  <si>
    <t>COPMPOSIÇÃO-PRODUÇÃO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</si>
  <si>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</si>
  <si>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</si>
  <si>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</si>
  <si>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</si>
  <si>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</si>
  <si>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</si>
  <si>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</si>
  <si>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</si>
  <si>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</si>
  <si>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</si>
  <si>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</si>
  <si>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</si>
  <si>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PRODUÇÃO</t>
  </si>
  <si>
    <t>Container</t>
  </si>
  <si>
    <t>Beira Rio</t>
  </si>
  <si>
    <t>Total</t>
  </si>
  <si>
    <t>BASES</t>
  </si>
  <si>
    <t>PRODUTO ACABADO</t>
  </si>
  <si>
    <t>Cresc. em relação a 26</t>
  </si>
  <si>
    <t>Repr. Mensal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</si>
</sst>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[$$-409]* #,##0.00_ ;_-[$$-409]* \-#,##0.00\ ;_-[$$-409]* &quot;-&quot;??_ ;_-@_ "/>
    <numFmt numFmtId="165" formatCode="[$-416]mmm\-yy;@"/>
  </numFmts>
  <fonts count="1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rgb="FFFF0000"/>
      <name val="Aptos Narrow"/>
      <scheme val="minor"/>
    </font>
    <font>
      <b/>
      <sz val="11"/>
      <color theme="1"/>
      <name val="Aptos Narrow"/>
      <scheme val="minor"/>
    </font>
    <font>
      <sz val="12"/>
      <color rgb="FFFF0000"/>
      <name val="Aptos Narrow"/>
      <scheme val="minor"/>
    </font>
    <font>
      <b/>
      <sz val="12"/>
      <color theme="3" tint="0.249977111117893"/>
      <name val="Aptos Narrow"/>
      <scheme val="minor"/>
    </font>
    <font>
      <sz val="12"/>
      <color rgb="FFFF0000"/>
      <name val="Aptos Narrow"/>
      <family val="2"/>
      <scheme val="minor"/>
    </font>
    <font>
      <sz val="12"/>
      <color rgb="FF0432FF"/>
      <name val="Aptos Narrow"/>
      <family val="2"/>
      <scheme val="minor"/>
    </font>
    <font>
      <b/>
      <sz val="12"/>
      <color rgb="FF0432FF"/>
      <name val="Aptos Narrow"/>
      <scheme val="minor"/>
    </font>
    <font>
      <sz val="9"/>
      <color theme="1"/>
      <name val="Aptos Narrow"/>
      <family val="2"/>
      <scheme val="minor"/>
    </font>
    <font>
      <b/>
      <sz val="12"/>
      <color rgb="FFC00000"/>
      <name val="Aptos Narrow"/>
      <scheme val="minor"/>
    </font>
    <font>
      <sz val="8"/>
      <name val="Aptos Narrow"/>
      <family val="2"/>
      <scheme val="minor"/>
    </font>
    <font>
      <b/>
      <sz val="11"/>
      <color rgb="FF0432FF"/>
      <name val="Aptos Narrow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C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D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73FDD6"/>
        <bgColor indexed="64"/>
      </patternFill>
    </fill>
    <fill>
      <patternFill patternType="solid">
        <fgColor rgb="FF8EFA00"/>
        <bgColor indexed="64"/>
      </patternFill>
    </fill>
    <fill>
      <patternFill patternType="solid">
        <fgColor rgb="FFFF40FF"/>
        <bgColor indexed="64"/>
      </patternFill>
    </fill>
    <fill>
      <patternFill patternType="solid">
        <fgColor rgb="FF929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D5FC79"/>
        <bgColor indexed="64"/>
      </patternFill>
    </fill>
    <fill>
      <patternFill patternType="solid">
        <fgColor rgb="FF00FA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467">
    <xf numFmtId="0" fontId="0" fillId="0" borderId="0" xfId="0"/>
    <xf numFmtId="0" fontId="0" fillId="0" borderId="0" xfId="0" applyAlignment="1">
      <alignment horizontal="center"/>
    </xf>
    <xf numFmtId="44" fontId="0" fillId="0" borderId="0" xfId="0" applyNumberFormat="1"/>
    <xf numFmtId="44" fontId="0" fillId="0" borderId="0" xfId="1" applyFont="1"/>
    <xf numFmtId="44" fontId="0" fillId="0" borderId="0" xfId="1" applyFont="1" applyBorder="1"/>
    <xf numFmtId="17" fontId="0" fillId="0" borderId="4" xfId="0" applyNumberFormat="1" applyBorder="1"/>
    <xf numFmtId="3" fontId="0" fillId="0" borderId="0" xfId="0" applyNumberFormat="1" applyAlignment="1">
      <alignment horizontal="center"/>
    </xf>
    <xf numFmtId="17" fontId="0" fillId="0" borderId="6" xfId="0" applyNumberFormat="1" applyBorder="1"/>
    <xf numFmtId="44" fontId="0" fillId="0" borderId="7" xfId="0" applyNumberFormat="1" applyBorder="1"/>
    <xf numFmtId="3" fontId="0" fillId="0" borderId="7" xfId="0" applyNumberFormat="1" applyBorder="1" applyAlignment="1">
      <alignment horizontal="center"/>
    </xf>
    <xf numFmtId="44" fontId="0" fillId="0" borderId="7" xfId="1" applyFont="1" applyBorder="1"/>
    <xf numFmtId="3" fontId="0" fillId="0" borderId="5" xfId="0" applyNumberFormat="1" applyBorder="1" applyAlignment="1">
      <alignment horizontal="center"/>
    </xf>
    <xf numFmtId="3" fontId="0" fillId="0" borderId="0" xfId="1" applyNumberFormat="1" applyFont="1" applyBorder="1" applyAlignment="1">
      <alignment horizontal="center"/>
    </xf>
    <xf numFmtId="44" fontId="0" fillId="0" borderId="0" xfId="1" applyFont="1" applyBorder="1" applyAlignment="1">
      <alignment horizontal="center"/>
    </xf>
    <xf numFmtId="0" fontId="2" fillId="0" borderId="0" xfId="0" applyFont="1"/>
    <xf numFmtId="44" fontId="0" fillId="0" borderId="2" xfId="1" applyFont="1" applyBorder="1"/>
    <xf numFmtId="3" fontId="0" fillId="0" borderId="2" xfId="0" applyNumberForma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7" fontId="0" fillId="0" borderId="0" xfId="0" applyNumberFormat="1"/>
    <xf numFmtId="3" fontId="0" fillId="0" borderId="2" xfId="1" applyNumberFormat="1" applyFont="1" applyBorder="1" applyAlignment="1">
      <alignment horizontal="center"/>
    </xf>
    <xf numFmtId="3" fontId="0" fillId="0" borderId="7" xfId="1" applyNumberFormat="1" applyFont="1" applyBorder="1" applyAlignment="1">
      <alignment horizontal="center"/>
    </xf>
    <xf numFmtId="44" fontId="2" fillId="6" borderId="1" xfId="1" applyFont="1" applyFill="1" applyBorder="1"/>
    <xf numFmtId="44" fontId="2" fillId="7" borderId="0" xfId="1" applyFont="1" applyFill="1" applyBorder="1"/>
    <xf numFmtId="3" fontId="2" fillId="0" borderId="0" xfId="1" applyNumberFormat="1" applyFont="1" applyBorder="1" applyAlignment="1">
      <alignment horizontal="center"/>
    </xf>
    <xf numFmtId="10" fontId="0" fillId="0" borderId="0" xfId="2" applyNumberFormat="1" applyFont="1"/>
    <xf numFmtId="44" fontId="5" fillId="0" borderId="2" xfId="1" applyFont="1" applyBorder="1" applyAlignment="1">
      <alignment horizontal="center"/>
    </xf>
    <xf numFmtId="44" fontId="5" fillId="0" borderId="0" xfId="1" applyFont="1" applyBorder="1" applyAlignment="1">
      <alignment horizontal="center"/>
    </xf>
    <xf numFmtId="44" fontId="5" fillId="0" borderId="7" xfId="1" applyFont="1" applyBorder="1" applyAlignment="1">
      <alignment horizontal="center"/>
    </xf>
    <xf numFmtId="17" fontId="0" fillId="3" borderId="1" xfId="0" applyNumberFormat="1" applyFill="1" applyBorder="1"/>
    <xf numFmtId="17" fontId="0" fillId="3" borderId="4" xfId="0" applyNumberFormat="1" applyFill="1" applyBorder="1"/>
    <xf numFmtId="44" fontId="0" fillId="0" borderId="1" xfId="1" applyFont="1" applyBorder="1"/>
    <xf numFmtId="44" fontId="0" fillId="0" borderId="4" xfId="1" applyFont="1" applyBorder="1"/>
    <xf numFmtId="44" fontId="0" fillId="0" borderId="6" xfId="1" applyFont="1" applyBorder="1"/>
    <xf numFmtId="0" fontId="6" fillId="0" borderId="0" xfId="0" applyFont="1"/>
    <xf numFmtId="9" fontId="0" fillId="0" borderId="0" xfId="2" applyFont="1"/>
    <xf numFmtId="10" fontId="2" fillId="0" borderId="1" xfId="2" applyNumberFormat="1" applyFont="1" applyBorder="1" applyAlignment="1"/>
    <xf numFmtId="10" fontId="2" fillId="0" borderId="3" xfId="2" applyNumberFormat="1" applyFont="1" applyBorder="1" applyAlignment="1"/>
    <xf numFmtId="3" fontId="5" fillId="0" borderId="2" xfId="1" applyNumberFormat="1" applyFont="1" applyBorder="1" applyAlignment="1">
      <alignment horizontal="center"/>
    </xf>
    <xf numFmtId="3" fontId="5" fillId="0" borderId="0" xfId="1" applyNumberFormat="1" applyFont="1" applyBorder="1" applyAlignment="1">
      <alignment horizontal="center"/>
    </xf>
    <xf numFmtId="44" fontId="0" fillId="0" borderId="2" xfId="1" applyFont="1" applyBorder="1" applyAlignment="1">
      <alignment horizontal="center"/>
    </xf>
    <xf numFmtId="44" fontId="0" fillId="0" borderId="3" xfId="0" applyNumberFormat="1" applyBorder="1"/>
    <xf numFmtId="44" fontId="0" fillId="0" borderId="5" xfId="0" applyNumberFormat="1" applyBorder="1"/>
    <xf numFmtId="44" fontId="0" fillId="0" borderId="8" xfId="0" applyNumberFormat="1" applyBorder="1"/>
    <xf numFmtId="10" fontId="2" fillId="0" borderId="9" xfId="2" applyNumberFormat="1" applyFont="1" applyBorder="1" applyAlignment="1">
      <alignment horizontal="center"/>
    </xf>
    <xf numFmtId="44" fontId="2" fillId="0" borderId="1" xfId="1" applyFont="1" applyBorder="1" applyAlignment="1">
      <alignment horizontal="center"/>
    </xf>
    <xf numFmtId="44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9" fontId="0" fillId="0" borderId="0" xfId="0" applyNumberFormat="1"/>
    <xf numFmtId="3" fontId="0" fillId="0" borderId="0" xfId="0" applyNumberFormat="1"/>
    <xf numFmtId="3" fontId="0" fillId="0" borderId="7" xfId="0" applyNumberFormat="1" applyBorder="1"/>
    <xf numFmtId="44" fontId="2" fillId="6" borderId="12" xfId="1" applyFont="1" applyFill="1" applyBorder="1"/>
    <xf numFmtId="0" fontId="2" fillId="0" borderId="13" xfId="0" applyFont="1" applyBorder="1" applyAlignment="1">
      <alignment horizontal="center"/>
    </xf>
    <xf numFmtId="9" fontId="2" fillId="0" borderId="14" xfId="0" applyNumberFormat="1" applyFont="1" applyBorder="1" applyAlignment="1">
      <alignment horizontal="center"/>
    </xf>
    <xf numFmtId="44" fontId="0" fillId="9" borderId="2" xfId="0" applyNumberFormat="1" applyFill="1" applyBorder="1"/>
    <xf numFmtId="3" fontId="0" fillId="9" borderId="2" xfId="0" applyNumberFormat="1" applyFill="1" applyBorder="1" applyAlignment="1">
      <alignment horizontal="center"/>
    </xf>
    <xf numFmtId="3" fontId="0" fillId="9" borderId="0" xfId="0" applyNumberFormat="1" applyFill="1" applyAlignment="1">
      <alignment horizontal="center"/>
    </xf>
    <xf numFmtId="44" fontId="0" fillId="2" borderId="2" xfId="0" applyNumberFormat="1" applyFill="1" applyBorder="1"/>
    <xf numFmtId="44" fontId="5" fillId="5" borderId="2" xfId="1" applyFont="1" applyFill="1" applyBorder="1" applyAlignment="1">
      <alignment horizontal="center"/>
    </xf>
    <xf numFmtId="3" fontId="0" fillId="5" borderId="2" xfId="0" applyNumberFormat="1" applyFill="1" applyBorder="1" applyAlignment="1">
      <alignment horizontal="center"/>
    </xf>
    <xf numFmtId="44" fontId="5" fillId="5" borderId="0" xfId="1" applyFont="1" applyFill="1" applyBorder="1" applyAlignment="1">
      <alignment horizontal="center"/>
    </xf>
    <xf numFmtId="3" fontId="0" fillId="5" borderId="0" xfId="0" applyNumberFormat="1" applyFill="1" applyAlignment="1">
      <alignment horizontal="center"/>
    </xf>
    <xf numFmtId="9" fontId="2" fillId="0" borderId="0" xfId="2" applyFont="1"/>
    <xf numFmtId="0" fontId="0" fillId="0" borderId="2" xfId="0" applyBorder="1" applyAlignment="1">
      <alignment horizontal="center"/>
    </xf>
    <xf numFmtId="10" fontId="2" fillId="0" borderId="0" xfId="2" applyNumberFormat="1" applyFont="1" applyAlignment="1">
      <alignment horizontal="center"/>
    </xf>
    <xf numFmtId="10" fontId="0" fillId="0" borderId="0" xfId="0" applyNumberFormat="1"/>
    <xf numFmtId="3" fontId="0" fillId="12" borderId="0" xfId="0" applyNumberFormat="1" applyFill="1" applyAlignment="1">
      <alignment horizontal="center"/>
    </xf>
    <xf numFmtId="3" fontId="0" fillId="6" borderId="0" xfId="0" applyNumberFormat="1" applyFill="1" applyAlignment="1">
      <alignment horizontal="center"/>
    </xf>
    <xf numFmtId="3" fontId="0" fillId="13" borderId="0" xfId="0" applyNumberFormat="1" applyFill="1" applyAlignment="1">
      <alignment horizontal="center"/>
    </xf>
    <xf numFmtId="3" fontId="0" fillId="11" borderId="0" xfId="0" applyNumberFormat="1" applyFill="1" applyAlignment="1">
      <alignment horizontal="center"/>
    </xf>
    <xf numFmtId="3" fontId="0" fillId="14" borderId="0" xfId="0" applyNumberFormat="1" applyFill="1" applyAlignment="1">
      <alignment horizontal="center"/>
    </xf>
    <xf numFmtId="3" fontId="0" fillId="15" borderId="0" xfId="0" applyNumberFormat="1" applyFill="1" applyAlignment="1">
      <alignment horizontal="center"/>
    </xf>
    <xf numFmtId="3" fontId="0" fillId="16" borderId="0" xfId="0" applyNumberFormat="1" applyFill="1" applyAlignment="1">
      <alignment horizontal="center"/>
    </xf>
    <xf numFmtId="3" fontId="0" fillId="17" borderId="0" xfId="0" applyNumberFormat="1" applyFill="1" applyAlignment="1">
      <alignment horizontal="center"/>
    </xf>
    <xf numFmtId="3" fontId="0" fillId="7" borderId="0" xfId="0" applyNumberFormat="1" applyFill="1" applyAlignment="1">
      <alignment horizontal="center"/>
    </xf>
    <xf numFmtId="3" fontId="0" fillId="18" borderId="0" xfId="0" applyNumberFormat="1" applyFill="1" applyAlignment="1">
      <alignment horizontal="center"/>
    </xf>
    <xf numFmtId="10" fontId="2" fillId="3" borderId="4" xfId="2" applyNumberFormat="1" applyFont="1" applyFill="1" applyBorder="1" applyAlignment="1">
      <alignment horizontal="center"/>
    </xf>
    <xf numFmtId="44" fontId="2" fillId="3" borderId="0" xfId="1" applyFont="1" applyFill="1" applyBorder="1" applyAlignment="1">
      <alignment horizontal="center"/>
    </xf>
    <xf numFmtId="44" fontId="0" fillId="9" borderId="0" xfId="0" applyNumberFormat="1" applyFill="1"/>
    <xf numFmtId="44" fontId="0" fillId="2" borderId="0" xfId="0" applyNumberFormat="1" applyFill="1"/>
    <xf numFmtId="44" fontId="5" fillId="19" borderId="0" xfId="1" applyFont="1" applyFill="1" applyBorder="1" applyAlignment="1">
      <alignment horizontal="center"/>
    </xf>
    <xf numFmtId="44" fontId="0" fillId="19" borderId="0" xfId="0" applyNumberFormat="1" applyFill="1" applyAlignment="1">
      <alignment horizontal="center"/>
    </xf>
    <xf numFmtId="3" fontId="0" fillId="20" borderId="0" xfId="0" applyNumberFormat="1" applyFill="1" applyAlignment="1">
      <alignment horizontal="center"/>
    </xf>
    <xf numFmtId="3" fontId="0" fillId="20" borderId="0" xfId="0" applyNumberFormat="1" applyFill="1"/>
    <xf numFmtId="164" fontId="2" fillId="7" borderId="0" xfId="1" applyNumberFormat="1" applyFont="1" applyFill="1" applyBorder="1"/>
    <xf numFmtId="3" fontId="2" fillId="0" borderId="0" xfId="0" applyNumberFormat="1" applyFont="1"/>
    <xf numFmtId="17" fontId="0" fillId="13" borderId="4" xfId="0" applyNumberFormat="1" applyFill="1" applyBorder="1"/>
    <xf numFmtId="17" fontId="0" fillId="5" borderId="4" xfId="0" applyNumberFormat="1" applyFill="1" applyBorder="1"/>
    <xf numFmtId="17" fontId="0" fillId="21" borderId="4" xfId="0" applyNumberFormat="1" applyFill="1" applyBorder="1"/>
    <xf numFmtId="17" fontId="0" fillId="17" borderId="4" xfId="0" applyNumberFormat="1" applyFill="1" applyBorder="1"/>
    <xf numFmtId="17" fontId="0" fillId="16" borderId="4" xfId="0" applyNumberFormat="1" applyFill="1" applyBorder="1"/>
    <xf numFmtId="17" fontId="0" fillId="18" borderId="4" xfId="0" applyNumberFormat="1" applyFill="1" applyBorder="1"/>
    <xf numFmtId="17" fontId="0" fillId="7" borderId="1" xfId="0" applyNumberFormat="1" applyFill="1" applyBorder="1"/>
    <xf numFmtId="3" fontId="0" fillId="6" borderId="2" xfId="0" applyNumberFormat="1" applyFill="1" applyBorder="1" applyAlignment="1">
      <alignment horizontal="center"/>
    </xf>
    <xf numFmtId="17" fontId="0" fillId="6" borderId="4" xfId="0" applyNumberFormat="1" applyFill="1" applyBorder="1"/>
    <xf numFmtId="17" fontId="0" fillId="12" borderId="4" xfId="0" applyNumberFormat="1" applyFill="1" applyBorder="1"/>
    <xf numFmtId="17" fontId="0" fillId="9" borderId="4" xfId="0" applyNumberFormat="1" applyFill="1" applyBorder="1"/>
    <xf numFmtId="17" fontId="0" fillId="14" borderId="4" xfId="0" applyNumberFormat="1" applyFill="1" applyBorder="1"/>
    <xf numFmtId="17" fontId="0" fillId="15" borderId="4" xfId="0" applyNumberFormat="1" applyFill="1" applyBorder="1"/>
    <xf numFmtId="164" fontId="5" fillId="12" borderId="2" xfId="1" applyNumberFormat="1" applyFont="1" applyFill="1" applyBorder="1" applyAlignment="1">
      <alignment horizontal="center"/>
    </xf>
    <xf numFmtId="164" fontId="5" fillId="6" borderId="0" xfId="1" applyNumberFormat="1" applyFont="1" applyFill="1" applyBorder="1" applyAlignment="1">
      <alignment horizontal="center"/>
    </xf>
    <xf numFmtId="164" fontId="5" fillId="21" borderId="0" xfId="1" applyNumberFormat="1" applyFont="1" applyFill="1" applyBorder="1" applyAlignment="1">
      <alignment horizontal="center"/>
    </xf>
    <xf numFmtId="164" fontId="5" fillId="5" borderId="0" xfId="1" applyNumberFormat="1" applyFont="1" applyFill="1" applyBorder="1" applyAlignment="1">
      <alignment horizontal="center"/>
    </xf>
    <xf numFmtId="164" fontId="5" fillId="11" borderId="0" xfId="1" applyNumberFormat="1" applyFont="1" applyFill="1" applyBorder="1" applyAlignment="1">
      <alignment horizontal="center"/>
    </xf>
    <xf numFmtId="164" fontId="5" fillId="13" borderId="0" xfId="1" applyNumberFormat="1" applyFont="1" applyFill="1" applyBorder="1" applyAlignment="1">
      <alignment horizontal="center"/>
    </xf>
    <xf numFmtId="164" fontId="5" fillId="14" borderId="0" xfId="1" applyNumberFormat="1" applyFont="1" applyFill="1" applyBorder="1" applyAlignment="1">
      <alignment horizontal="center"/>
    </xf>
    <xf numFmtId="164" fontId="5" fillId="15" borderId="0" xfId="1" applyNumberFormat="1" applyFont="1" applyFill="1" applyBorder="1" applyAlignment="1">
      <alignment horizontal="center"/>
    </xf>
    <xf numFmtId="164" fontId="5" fillId="18" borderId="0" xfId="1" applyNumberFormat="1" applyFont="1" applyFill="1" applyBorder="1" applyAlignment="1">
      <alignment horizontal="center"/>
    </xf>
    <xf numFmtId="164" fontId="5" fillId="16" borderId="0" xfId="1" applyNumberFormat="1" applyFont="1" applyFill="1" applyBorder="1" applyAlignment="1">
      <alignment horizontal="center"/>
    </xf>
    <xf numFmtId="164" fontId="5" fillId="17" borderId="0" xfId="1" applyNumberFormat="1" applyFont="1" applyFill="1" applyBorder="1" applyAlignment="1">
      <alignment horizontal="center"/>
    </xf>
    <xf numFmtId="164" fontId="5" fillId="23" borderId="0" xfId="1" applyNumberFormat="1" applyFont="1" applyFill="1" applyBorder="1" applyAlignment="1">
      <alignment horizontal="center"/>
    </xf>
    <xf numFmtId="164" fontId="5" fillId="0" borderId="7" xfId="1" applyNumberFormat="1" applyFon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5" fillId="19" borderId="0" xfId="1" applyNumberFormat="1" applyFont="1" applyFill="1" applyBorder="1" applyAlignment="1">
      <alignment horizontal="center"/>
    </xf>
    <xf numFmtId="10" fontId="2" fillId="0" borderId="0" xfId="2" applyNumberFormat="1" applyFont="1" applyFill="1" applyBorder="1" applyAlignment="1"/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4" fillId="0" borderId="0" xfId="0" applyFont="1"/>
    <xf numFmtId="9" fontId="2" fillId="0" borderId="0" xfId="0" applyNumberFormat="1" applyFont="1" applyAlignment="1">
      <alignment horizontal="center"/>
    </xf>
    <xf numFmtId="9" fontId="2" fillId="0" borderId="0" xfId="2" applyFont="1" applyFill="1" applyBorder="1" applyAlignment="1"/>
    <xf numFmtId="0" fontId="2" fillId="0" borderId="14" xfId="0" applyFont="1" applyBorder="1" applyAlignment="1">
      <alignment horizontal="center"/>
    </xf>
    <xf numFmtId="10" fontId="2" fillId="0" borderId="6" xfId="2" applyNumberFormat="1" applyFont="1" applyFill="1" applyBorder="1" applyAlignment="1">
      <alignment horizontal="center"/>
    </xf>
    <xf numFmtId="44" fontId="2" fillId="0" borderId="7" xfId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64" fontId="0" fillId="21" borderId="0" xfId="0" applyNumberFormat="1" applyFill="1" applyAlignment="1">
      <alignment horizontal="center"/>
    </xf>
    <xf numFmtId="164" fontId="0" fillId="5" borderId="0" xfId="0" applyNumberFormat="1" applyFill="1" applyAlignment="1">
      <alignment horizontal="center"/>
    </xf>
    <xf numFmtId="164" fontId="0" fillId="11" borderId="0" xfId="0" applyNumberFormat="1" applyFill="1" applyAlignment="1">
      <alignment horizontal="center"/>
    </xf>
    <xf numFmtId="164" fontId="0" fillId="13" borderId="0" xfId="0" applyNumberFormat="1" applyFill="1" applyAlignment="1">
      <alignment horizontal="center"/>
    </xf>
    <xf numFmtId="164" fontId="0" fillId="14" borderId="0" xfId="0" applyNumberFormat="1" applyFill="1" applyAlignment="1">
      <alignment horizontal="center"/>
    </xf>
    <xf numFmtId="164" fontId="0" fillId="15" borderId="0" xfId="0" applyNumberFormat="1" applyFill="1" applyAlignment="1">
      <alignment horizontal="center"/>
    </xf>
    <xf numFmtId="164" fontId="0" fillId="18" borderId="0" xfId="0" applyNumberFormat="1" applyFill="1" applyAlignment="1">
      <alignment horizontal="center"/>
    </xf>
    <xf numFmtId="164" fontId="0" fillId="16" borderId="0" xfId="0" applyNumberFormat="1" applyFill="1" applyAlignment="1">
      <alignment horizontal="center"/>
    </xf>
    <xf numFmtId="164" fontId="0" fillId="17" borderId="0" xfId="0" applyNumberFormat="1" applyFill="1" applyAlignment="1">
      <alignment horizontal="center"/>
    </xf>
    <xf numFmtId="164" fontId="0" fillId="12" borderId="0" xfId="0" applyNumberFormat="1" applyFill="1" applyAlignment="1">
      <alignment horizontal="center"/>
    </xf>
    <xf numFmtId="17" fontId="0" fillId="0" borderId="0" xfId="0" applyNumberFormat="1" applyAlignment="1">
      <alignment horizontal="center"/>
    </xf>
    <xf numFmtId="164" fontId="0" fillId="7" borderId="2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6" borderId="0" xfId="0" applyNumberFormat="1" applyFill="1" applyAlignment="1">
      <alignment horizontal="center"/>
    </xf>
    <xf numFmtId="164" fontId="0" fillId="5" borderId="5" xfId="0" applyNumberFormat="1" applyFill="1" applyBorder="1" applyAlignment="1">
      <alignment horizontal="center"/>
    </xf>
    <xf numFmtId="164" fontId="0" fillId="9" borderId="5" xfId="0" applyNumberFormat="1" applyFill="1" applyBorder="1" applyAlignment="1">
      <alignment horizontal="center"/>
    </xf>
    <xf numFmtId="164" fontId="0" fillId="13" borderId="5" xfId="0" applyNumberFormat="1" applyFill="1" applyBorder="1" applyAlignment="1">
      <alignment horizontal="center"/>
    </xf>
    <xf numFmtId="164" fontId="0" fillId="14" borderId="5" xfId="0" applyNumberFormat="1" applyFill="1" applyBorder="1" applyAlignment="1">
      <alignment horizontal="center"/>
    </xf>
    <xf numFmtId="164" fontId="0" fillId="15" borderId="5" xfId="0" applyNumberFormat="1" applyFill="1" applyBorder="1" applyAlignment="1">
      <alignment horizontal="center"/>
    </xf>
    <xf numFmtId="164" fontId="0" fillId="18" borderId="5" xfId="0" applyNumberFormat="1" applyFill="1" applyBorder="1" applyAlignment="1">
      <alignment horizontal="center"/>
    </xf>
    <xf numFmtId="164" fontId="0" fillId="16" borderId="5" xfId="0" applyNumberFormat="1" applyFill="1" applyBorder="1" applyAlignment="1">
      <alignment horizontal="center"/>
    </xf>
    <xf numFmtId="164" fontId="0" fillId="17" borderId="5" xfId="0" applyNumberFormat="1" applyFill="1" applyBorder="1" applyAlignment="1">
      <alignment horizontal="center"/>
    </xf>
    <xf numFmtId="164" fontId="0" fillId="7" borderId="5" xfId="0" applyNumberFormat="1" applyFill="1" applyBorder="1" applyAlignment="1">
      <alignment horizontal="center"/>
    </xf>
    <xf numFmtId="164" fontId="0" fillId="7" borderId="0" xfId="0" applyNumberFormat="1" applyFill="1" applyAlignment="1">
      <alignment horizontal="center"/>
    </xf>
    <xf numFmtId="164" fontId="0" fillId="12" borderId="5" xfId="0" applyNumberFormat="1" applyFill="1" applyBorder="1" applyAlignment="1">
      <alignment horizontal="center"/>
    </xf>
    <xf numFmtId="17" fontId="0" fillId="3" borderId="6" xfId="0" applyNumberFormat="1" applyFill="1" applyBorder="1"/>
    <xf numFmtId="164" fontId="0" fillId="17" borderId="7" xfId="0" applyNumberFormat="1" applyFill="1" applyBorder="1" applyAlignment="1">
      <alignment horizontal="center"/>
    </xf>
    <xf numFmtId="164" fontId="0" fillId="7" borderId="7" xfId="0" applyNumberFormat="1" applyFill="1" applyBorder="1" applyAlignment="1">
      <alignment horizontal="center"/>
    </xf>
    <xf numFmtId="164" fontId="0" fillId="12" borderId="7" xfId="0" applyNumberFormat="1" applyFill="1" applyBorder="1" applyAlignment="1">
      <alignment horizontal="center"/>
    </xf>
    <xf numFmtId="164" fontId="0" fillId="6" borderId="8" xfId="0" applyNumberFormat="1" applyFill="1" applyBorder="1" applyAlignment="1">
      <alignment horizontal="center"/>
    </xf>
    <xf numFmtId="164" fontId="0" fillId="21" borderId="5" xfId="0" applyNumberForma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3" fontId="0" fillId="7" borderId="1" xfId="0" applyNumberFormat="1" applyFill="1" applyBorder="1" applyAlignment="1">
      <alignment horizontal="center"/>
    </xf>
    <xf numFmtId="3" fontId="0" fillId="12" borderId="2" xfId="0" applyNumberFormat="1" applyFill="1" applyBorder="1" applyAlignment="1">
      <alignment horizontal="center"/>
    </xf>
    <xf numFmtId="3" fontId="0" fillId="21" borderId="3" xfId="0" applyNumberFormat="1" applyFill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3" fontId="0" fillId="12" borderId="4" xfId="0" applyNumberFormat="1" applyFill="1" applyBorder="1" applyAlignment="1">
      <alignment horizontal="center"/>
    </xf>
    <xf numFmtId="3" fontId="0" fillId="21" borderId="0" xfId="0" applyNumberFormat="1" applyFill="1" applyAlignment="1">
      <alignment horizontal="center"/>
    </xf>
    <xf numFmtId="3" fontId="0" fillId="5" borderId="5" xfId="0" applyNumberFormat="1" applyFill="1" applyBorder="1" applyAlignment="1">
      <alignment horizontal="center"/>
    </xf>
    <xf numFmtId="3" fontId="0" fillId="6" borderId="4" xfId="0" applyNumberFormat="1" applyFill="1" applyBorder="1" applyAlignment="1">
      <alignment horizontal="center"/>
    </xf>
    <xf numFmtId="3" fontId="0" fillId="9" borderId="5" xfId="0" applyNumberFormat="1" applyFill="1" applyBorder="1" applyAlignment="1">
      <alignment horizontal="center"/>
    </xf>
    <xf numFmtId="3" fontId="0" fillId="21" borderId="4" xfId="0" applyNumberFormat="1" applyFill="1" applyBorder="1" applyAlignment="1">
      <alignment horizontal="center"/>
    </xf>
    <xf numFmtId="3" fontId="0" fillId="13" borderId="5" xfId="0" applyNumberFormat="1" applyFill="1" applyBorder="1" applyAlignment="1">
      <alignment horizontal="center"/>
    </xf>
    <xf numFmtId="3" fontId="0" fillId="5" borderId="4" xfId="0" applyNumberFormat="1" applyFill="1" applyBorder="1" applyAlignment="1">
      <alignment horizontal="center"/>
    </xf>
    <xf numFmtId="3" fontId="0" fillId="14" borderId="5" xfId="0" applyNumberFormat="1" applyFill="1" applyBorder="1" applyAlignment="1">
      <alignment horizontal="center"/>
    </xf>
    <xf numFmtId="3" fontId="0" fillId="9" borderId="4" xfId="0" applyNumberFormat="1" applyFill="1" applyBorder="1" applyAlignment="1">
      <alignment horizontal="center"/>
    </xf>
    <xf numFmtId="3" fontId="0" fillId="15" borderId="5" xfId="0" applyNumberFormat="1" applyFill="1" applyBorder="1" applyAlignment="1">
      <alignment horizontal="center"/>
    </xf>
    <xf numFmtId="3" fontId="0" fillId="13" borderId="4" xfId="0" applyNumberFormat="1" applyFill="1" applyBorder="1" applyAlignment="1">
      <alignment horizontal="center"/>
    </xf>
    <xf numFmtId="3" fontId="0" fillId="18" borderId="5" xfId="0" applyNumberFormat="1" applyFill="1" applyBorder="1" applyAlignment="1">
      <alignment horizontal="center"/>
    </xf>
    <xf numFmtId="3" fontId="0" fillId="14" borderId="4" xfId="0" applyNumberFormat="1" applyFill="1" applyBorder="1" applyAlignment="1">
      <alignment horizontal="center"/>
    </xf>
    <xf numFmtId="3" fontId="0" fillId="16" borderId="5" xfId="0" applyNumberFormat="1" applyFill="1" applyBorder="1" applyAlignment="1">
      <alignment horizontal="center"/>
    </xf>
    <xf numFmtId="3" fontId="0" fillId="15" borderId="4" xfId="0" applyNumberFormat="1" applyFill="1" applyBorder="1" applyAlignment="1">
      <alignment horizontal="center"/>
    </xf>
    <xf numFmtId="3" fontId="0" fillId="17" borderId="5" xfId="0" applyNumberFormat="1" applyFill="1" applyBorder="1" applyAlignment="1">
      <alignment horizontal="center"/>
    </xf>
    <xf numFmtId="3" fontId="0" fillId="18" borderId="4" xfId="0" applyNumberFormat="1" applyFill="1" applyBorder="1" applyAlignment="1">
      <alignment horizontal="center"/>
    </xf>
    <xf numFmtId="3" fontId="0" fillId="7" borderId="5" xfId="0" applyNumberFormat="1" applyFill="1" applyBorder="1" applyAlignment="1">
      <alignment horizontal="center"/>
    </xf>
    <xf numFmtId="3" fontId="0" fillId="16" borderId="4" xfId="0" applyNumberFormat="1" applyFill="1" applyBorder="1" applyAlignment="1">
      <alignment horizontal="center"/>
    </xf>
    <xf numFmtId="3" fontId="0" fillId="12" borderId="5" xfId="0" applyNumberFormat="1" applyFill="1" applyBorder="1" applyAlignment="1">
      <alignment horizontal="center"/>
    </xf>
    <xf numFmtId="3" fontId="0" fillId="17" borderId="6" xfId="0" applyNumberFormat="1" applyFill="1" applyBorder="1" applyAlignment="1">
      <alignment horizontal="center"/>
    </xf>
    <xf numFmtId="3" fontId="0" fillId="7" borderId="7" xfId="0" applyNumberFormat="1" applyFill="1" applyBorder="1" applyAlignment="1">
      <alignment horizontal="center"/>
    </xf>
    <xf numFmtId="3" fontId="0" fillId="12" borderId="7" xfId="0" applyNumberFormat="1" applyFill="1" applyBorder="1" applyAlignment="1">
      <alignment horizontal="center"/>
    </xf>
    <xf numFmtId="3" fontId="0" fillId="6" borderId="8" xfId="0" applyNumberFormat="1" applyFill="1" applyBorder="1" applyAlignment="1">
      <alignment horizontal="center"/>
    </xf>
    <xf numFmtId="3" fontId="0" fillId="7" borderId="2" xfId="0" applyNumberFormat="1" applyFill="1" applyBorder="1" applyAlignment="1">
      <alignment horizontal="center"/>
    </xf>
    <xf numFmtId="3" fontId="0" fillId="17" borderId="7" xfId="0" applyNumberFormat="1" applyFill="1" applyBorder="1" applyAlignment="1">
      <alignment horizontal="center"/>
    </xf>
    <xf numFmtId="4" fontId="5" fillId="5" borderId="2" xfId="1" applyNumberFormat="1" applyFont="1" applyFill="1" applyBorder="1" applyAlignment="1">
      <alignment horizontal="center"/>
    </xf>
    <xf numFmtId="4" fontId="0" fillId="9" borderId="2" xfId="0" applyNumberFormat="1" applyFill="1" applyBorder="1" applyAlignment="1">
      <alignment horizontal="center"/>
    </xf>
    <xf numFmtId="4" fontId="5" fillId="5" borderId="0" xfId="1" applyNumberFormat="1" applyFont="1" applyFill="1" applyBorder="1" applyAlignment="1">
      <alignment horizontal="center"/>
    </xf>
    <xf numFmtId="4" fontId="5" fillId="0" borderId="7" xfId="1" applyNumberFormat="1" applyFont="1" applyBorder="1" applyAlignment="1">
      <alignment horizontal="center"/>
    </xf>
    <xf numFmtId="4" fontId="0" fillId="0" borderId="7" xfId="0" applyNumberFormat="1" applyBorder="1" applyAlignment="1">
      <alignment horizontal="center"/>
    </xf>
    <xf numFmtId="4" fontId="0" fillId="0" borderId="7" xfId="0" applyNumberFormat="1" applyBorder="1"/>
    <xf numFmtId="4" fontId="0" fillId="0" borderId="8" xfId="0" applyNumberFormat="1" applyBorder="1"/>
    <xf numFmtId="4" fontId="0" fillId="0" borderId="2" xfId="1" applyNumberFormat="1" applyFont="1" applyBorder="1" applyAlignment="1">
      <alignment horizontal="center"/>
    </xf>
    <xf numFmtId="4" fontId="0" fillId="0" borderId="0" xfId="1" applyNumberFormat="1" applyFont="1" applyBorder="1" applyAlignment="1">
      <alignment horizontal="center"/>
    </xf>
    <xf numFmtId="4" fontId="0" fillId="0" borderId="7" xfId="1" applyNumberFormat="1" applyFont="1" applyBorder="1"/>
    <xf numFmtId="4" fontId="0" fillId="0" borderId="7" xfId="1" applyNumberFormat="1" applyFont="1" applyBorder="1" applyAlignment="1">
      <alignment horizontal="center"/>
    </xf>
    <xf numFmtId="4" fontId="2" fillId="0" borderId="0" xfId="1" applyNumberFormat="1" applyFont="1" applyBorder="1" applyAlignment="1">
      <alignment horizontal="center"/>
    </xf>
    <xf numFmtId="4" fontId="0" fillId="2" borderId="2" xfId="0" applyNumberFormat="1" applyFill="1" applyBorder="1" applyAlignment="1">
      <alignment horizontal="center"/>
    </xf>
    <xf numFmtId="4" fontId="0" fillId="0" borderId="0" xfId="0" applyNumberFormat="1" applyAlignment="1">
      <alignment horizontal="center"/>
    </xf>
    <xf numFmtId="4" fontId="0" fillId="0" borderId="8" xfId="0" applyNumberFormat="1" applyBorder="1" applyAlignment="1">
      <alignment horizontal="center"/>
    </xf>
    <xf numFmtId="4" fontId="0" fillId="9" borderId="0" xfId="0" applyNumberFormat="1" applyFill="1" applyAlignment="1">
      <alignment horizontal="center"/>
    </xf>
    <xf numFmtId="4" fontId="0" fillId="2" borderId="0" xfId="0" applyNumberFormat="1" applyFill="1" applyAlignment="1">
      <alignment horizontal="center"/>
    </xf>
    <xf numFmtId="4" fontId="0" fillId="0" borderId="2" xfId="0" applyNumberFormat="1" applyBorder="1" applyAlignment="1">
      <alignment horizontal="center"/>
    </xf>
    <xf numFmtId="4" fontId="2" fillId="6" borderId="12" xfId="1" applyNumberFormat="1" applyFont="1" applyFill="1" applyBorder="1"/>
    <xf numFmtId="4" fontId="2" fillId="6" borderId="12" xfId="1" applyNumberFormat="1" applyFont="1" applyFill="1" applyBorder="1" applyAlignment="1">
      <alignment horizontal="center"/>
    </xf>
    <xf numFmtId="4" fontId="0" fillId="0" borderId="3" xfId="0" applyNumberFormat="1" applyBorder="1" applyAlignment="1">
      <alignment horizontal="center"/>
    </xf>
    <xf numFmtId="4" fontId="0" fillId="0" borderId="5" xfId="0" applyNumberFormat="1" applyBorder="1" applyAlignment="1">
      <alignment horizontal="center"/>
    </xf>
    <xf numFmtId="4" fontId="5" fillId="0" borderId="0" xfId="1" applyNumberFormat="1" applyFont="1" applyBorder="1" applyAlignment="1">
      <alignment horizontal="center"/>
    </xf>
    <xf numFmtId="3" fontId="6" fillId="0" borderId="0" xfId="0" applyNumberFormat="1" applyFont="1" applyAlignment="1">
      <alignment horizontal="right"/>
    </xf>
    <xf numFmtId="4" fontId="6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9" fontId="2" fillId="0" borderId="2" xfId="2" applyFont="1" applyFill="1" applyBorder="1" applyAlignment="1">
      <alignment horizontal="center"/>
    </xf>
    <xf numFmtId="10" fontId="2" fillId="0" borderId="0" xfId="2" applyNumberFormat="1" applyFont="1" applyFill="1" applyBorder="1" applyAlignment="1">
      <alignment horizontal="center"/>
    </xf>
    <xf numFmtId="9" fontId="2" fillId="0" borderId="3" xfId="2" applyFont="1" applyFill="1" applyBorder="1" applyAlignment="1">
      <alignment horizontal="center"/>
    </xf>
    <xf numFmtId="10" fontId="2" fillId="0" borderId="5" xfId="2" applyNumberFormat="1" applyFont="1" applyFill="1" applyBorder="1" applyAlignment="1">
      <alignment horizontal="center"/>
    </xf>
    <xf numFmtId="44" fontId="2" fillId="0" borderId="4" xfId="1" applyFont="1" applyFill="1" applyBorder="1" applyAlignment="1">
      <alignment horizontal="center"/>
    </xf>
    <xf numFmtId="10" fontId="2" fillId="0" borderId="2" xfId="2" applyNumberFormat="1" applyFont="1" applyFill="1" applyBorder="1" applyAlignment="1">
      <alignment horizontal="center"/>
    </xf>
    <xf numFmtId="10" fontId="2" fillId="0" borderId="14" xfId="0" applyNumberFormat="1" applyFont="1" applyBorder="1" applyAlignment="1">
      <alignment horizontal="center"/>
    </xf>
    <xf numFmtId="17" fontId="2" fillId="0" borderId="0" xfId="0" applyNumberFormat="1" applyFont="1"/>
    <xf numFmtId="3" fontId="2" fillId="0" borderId="0" xfId="0" applyNumberFormat="1" applyFont="1" applyAlignment="1">
      <alignment horizontal="center"/>
    </xf>
    <xf numFmtId="44" fontId="2" fillId="0" borderId="1" xfId="1" applyFont="1" applyFill="1" applyBorder="1" applyAlignment="1"/>
    <xf numFmtId="44" fontId="2" fillId="0" borderId="2" xfId="1" applyFont="1" applyFill="1" applyBorder="1" applyAlignment="1"/>
    <xf numFmtId="44" fontId="7" fillId="6" borderId="0" xfId="0" applyNumberFormat="1" applyFont="1" applyFill="1"/>
    <xf numFmtId="44" fontId="7" fillId="6" borderId="1" xfId="1" applyFont="1" applyFill="1" applyBorder="1"/>
    <xf numFmtId="44" fontId="7" fillId="7" borderId="0" xfId="1" applyFont="1" applyFill="1" applyBorder="1"/>
    <xf numFmtId="164" fontId="5" fillId="0" borderId="2" xfId="1" applyNumberFormat="1" applyFont="1" applyBorder="1"/>
    <xf numFmtId="164" fontId="5" fillId="6" borderId="2" xfId="0" applyNumberFormat="1" applyFont="1" applyFill="1" applyBorder="1" applyAlignment="1">
      <alignment horizontal="center"/>
    </xf>
    <xf numFmtId="164" fontId="5" fillId="21" borderId="3" xfId="0" applyNumberFormat="1" applyFont="1" applyFill="1" applyBorder="1"/>
    <xf numFmtId="164" fontId="5" fillId="0" borderId="0" xfId="1" applyNumberFormat="1" applyFont="1" applyBorder="1"/>
    <xf numFmtId="164" fontId="5" fillId="21" borderId="0" xfId="0" applyNumberFormat="1" applyFont="1" applyFill="1" applyAlignment="1">
      <alignment horizontal="center"/>
    </xf>
    <xf numFmtId="164" fontId="5" fillId="5" borderId="5" xfId="0" applyNumberFormat="1" applyFont="1" applyFill="1" applyBorder="1"/>
    <xf numFmtId="164" fontId="5" fillId="5" borderId="0" xfId="0" applyNumberFormat="1" applyFont="1" applyFill="1" applyAlignment="1">
      <alignment horizontal="center"/>
    </xf>
    <xf numFmtId="164" fontId="5" fillId="11" borderId="5" xfId="0" applyNumberFormat="1" applyFont="1" applyFill="1" applyBorder="1"/>
    <xf numFmtId="164" fontId="5" fillId="11" borderId="0" xfId="0" applyNumberFormat="1" applyFont="1" applyFill="1" applyAlignment="1">
      <alignment horizontal="center"/>
    </xf>
    <xf numFmtId="164" fontId="5" fillId="13" borderId="5" xfId="0" applyNumberFormat="1" applyFont="1" applyFill="1" applyBorder="1"/>
    <xf numFmtId="164" fontId="5" fillId="13" borderId="0" xfId="0" applyNumberFormat="1" applyFont="1" applyFill="1" applyAlignment="1">
      <alignment horizontal="center"/>
    </xf>
    <xf numFmtId="164" fontId="5" fillId="14" borderId="5" xfId="0" applyNumberFormat="1" applyFont="1" applyFill="1" applyBorder="1"/>
    <xf numFmtId="164" fontId="5" fillId="14" borderId="0" xfId="0" applyNumberFormat="1" applyFont="1" applyFill="1" applyAlignment="1">
      <alignment horizontal="center"/>
    </xf>
    <xf numFmtId="164" fontId="5" fillId="15" borderId="5" xfId="0" applyNumberFormat="1" applyFont="1" applyFill="1" applyBorder="1"/>
    <xf numFmtId="164" fontId="5" fillId="15" borderId="0" xfId="0" applyNumberFormat="1" applyFont="1" applyFill="1" applyAlignment="1">
      <alignment horizontal="center"/>
    </xf>
    <xf numFmtId="164" fontId="5" fillId="18" borderId="5" xfId="0" applyNumberFormat="1" applyFont="1" applyFill="1" applyBorder="1"/>
    <xf numFmtId="164" fontId="5" fillId="18" borderId="0" xfId="0" applyNumberFormat="1" applyFont="1" applyFill="1" applyAlignment="1">
      <alignment horizontal="center"/>
    </xf>
    <xf numFmtId="164" fontId="5" fillId="16" borderId="5" xfId="0" applyNumberFormat="1" applyFont="1" applyFill="1" applyBorder="1"/>
    <xf numFmtId="164" fontId="5" fillId="16" borderId="0" xfId="0" applyNumberFormat="1" applyFont="1" applyFill="1" applyAlignment="1">
      <alignment horizontal="center"/>
    </xf>
    <xf numFmtId="164" fontId="5" fillId="17" borderId="5" xfId="0" applyNumberFormat="1" applyFont="1" applyFill="1" applyBorder="1"/>
    <xf numFmtId="164" fontId="5" fillId="17" borderId="0" xfId="0" applyNumberFormat="1" applyFont="1" applyFill="1" applyAlignment="1">
      <alignment horizontal="center"/>
    </xf>
    <xf numFmtId="164" fontId="5" fillId="23" borderId="5" xfId="0" applyNumberFormat="1" applyFont="1" applyFill="1" applyBorder="1"/>
    <xf numFmtId="164" fontId="5" fillId="23" borderId="0" xfId="0" applyNumberFormat="1" applyFont="1" applyFill="1" applyAlignment="1">
      <alignment horizontal="center"/>
    </xf>
    <xf numFmtId="164" fontId="5" fillId="12" borderId="5" xfId="0" applyNumberFormat="1" applyFont="1" applyFill="1" applyBorder="1"/>
    <xf numFmtId="164" fontId="5" fillId="12" borderId="0" xfId="0" applyNumberFormat="1" applyFont="1" applyFill="1" applyAlignment="1">
      <alignment horizontal="center"/>
    </xf>
    <xf numFmtId="164" fontId="5" fillId="6" borderId="5" xfId="0" applyNumberFormat="1" applyFont="1" applyFill="1" applyBorder="1"/>
    <xf numFmtId="164" fontId="5" fillId="0" borderId="7" xfId="1" applyNumberFormat="1" applyFont="1" applyBorder="1"/>
    <xf numFmtId="3" fontId="5" fillId="0" borderId="7" xfId="1" applyNumberFormat="1" applyFont="1" applyBorder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8" xfId="0" applyNumberFormat="1" applyFont="1" applyBorder="1"/>
    <xf numFmtId="164" fontId="5" fillId="20" borderId="0" xfId="0" applyNumberFormat="1" applyFont="1" applyFill="1" applyAlignment="1">
      <alignment horizontal="center"/>
    </xf>
    <xf numFmtId="164" fontId="5" fillId="19" borderId="0" xfId="0" applyNumberFormat="1" applyFont="1" applyFill="1" applyAlignment="1">
      <alignment horizontal="center"/>
    </xf>
    <xf numFmtId="3" fontId="5" fillId="0" borderId="0" xfId="0" applyNumberFormat="1" applyFont="1" applyAlignment="1">
      <alignment horizontal="center"/>
    </xf>
    <xf numFmtId="44" fontId="5" fillId="0" borderId="0" xfId="0" applyNumberFormat="1" applyFont="1"/>
    <xf numFmtId="17" fontId="0" fillId="4" borderId="1" xfId="0" applyNumberFormat="1" applyFill="1" applyBorder="1"/>
    <xf numFmtId="17" fontId="0" fillId="4" borderId="4" xfId="0" applyNumberFormat="1" applyFill="1" applyBorder="1"/>
    <xf numFmtId="17" fontId="0" fillId="24" borderId="1" xfId="0" applyNumberFormat="1" applyFill="1" applyBorder="1"/>
    <xf numFmtId="17" fontId="0" fillId="24" borderId="4" xfId="0" applyNumberFormat="1" applyFill="1" applyBorder="1"/>
    <xf numFmtId="17" fontId="0" fillId="25" borderId="1" xfId="0" applyNumberFormat="1" applyFill="1" applyBorder="1"/>
    <xf numFmtId="17" fontId="0" fillId="25" borderId="4" xfId="0" applyNumberFormat="1" applyFill="1" applyBorder="1"/>
    <xf numFmtId="44" fontId="2" fillId="26" borderId="0" xfId="0" applyNumberFormat="1" applyFont="1" applyFill="1"/>
    <xf numFmtId="44" fontId="6" fillId="0" borderId="0" xfId="0" applyNumberFormat="1" applyFont="1"/>
    <xf numFmtId="44" fontId="2" fillId="12" borderId="0" xfId="0" applyNumberFormat="1" applyFont="1" applyFill="1"/>
    <xf numFmtId="10" fontId="0" fillId="4" borderId="6" xfId="2" applyNumberFormat="1" applyFont="1" applyFill="1" applyBorder="1" applyAlignment="1">
      <alignment horizontal="center"/>
    </xf>
    <xf numFmtId="10" fontId="0" fillId="24" borderId="4" xfId="2" applyNumberFormat="1" applyFont="1" applyFill="1" applyBorder="1" applyAlignment="1">
      <alignment horizontal="center"/>
    </xf>
    <xf numFmtId="44" fontId="0" fillId="24" borderId="0" xfId="1" applyFont="1" applyFill="1" applyBorder="1" applyAlignment="1">
      <alignment horizontal="center"/>
    </xf>
    <xf numFmtId="10" fontId="0" fillId="24" borderId="0" xfId="2" applyNumberFormat="1" applyFont="1" applyFill="1" applyBorder="1" applyAlignment="1">
      <alignment horizontal="center"/>
    </xf>
    <xf numFmtId="10" fontId="0" fillId="24" borderId="5" xfId="2" applyNumberFormat="1" applyFont="1" applyFill="1" applyBorder="1" applyAlignment="1">
      <alignment horizontal="center"/>
    </xf>
    <xf numFmtId="44" fontId="2" fillId="0" borderId="4" xfId="1" applyFont="1" applyFill="1" applyBorder="1" applyAlignment="1"/>
    <xf numFmtId="9" fontId="2" fillId="0" borderId="5" xfId="2" applyFont="1" applyFill="1" applyBorder="1" applyAlignment="1">
      <alignment horizontal="center"/>
    </xf>
    <xf numFmtId="17" fontId="0" fillId="22" borderId="1" xfId="0" applyNumberFormat="1" applyFill="1" applyBorder="1"/>
    <xf numFmtId="17" fontId="0" fillId="22" borderId="4" xfId="0" applyNumberFormat="1" applyFill="1" applyBorder="1"/>
    <xf numFmtId="44" fontId="2" fillId="0" borderId="0" xfId="1" applyFont="1" applyFill="1" applyBorder="1" applyAlignment="1">
      <alignment horizontal="center"/>
    </xf>
    <xf numFmtId="17" fontId="0" fillId="12" borderId="1" xfId="0" applyNumberFormat="1" applyFill="1" applyBorder="1"/>
    <xf numFmtId="10" fontId="2" fillId="11" borderId="0" xfId="2" applyNumberFormat="1" applyFont="1" applyFill="1" applyBorder="1" applyAlignment="1">
      <alignment horizontal="center"/>
    </xf>
    <xf numFmtId="10" fontId="2" fillId="2" borderId="0" xfId="2" applyNumberFormat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9" fontId="2" fillId="0" borderId="2" xfId="2" applyFont="1" applyFill="1" applyBorder="1" applyAlignment="1"/>
    <xf numFmtId="4" fontId="2" fillId="11" borderId="0" xfId="0" applyNumberFormat="1" applyFont="1" applyFill="1" applyAlignment="1">
      <alignment horizontal="center"/>
    </xf>
    <xf numFmtId="4" fontId="2" fillId="5" borderId="0" xfId="1" applyNumberFormat="1" applyFont="1" applyFill="1" applyBorder="1" applyAlignment="1">
      <alignment horizontal="center"/>
    </xf>
    <xf numFmtId="4" fontId="2" fillId="2" borderId="0" xfId="0" applyNumberFormat="1" applyFont="1" applyFill="1" applyAlignment="1">
      <alignment horizontal="center"/>
    </xf>
    <xf numFmtId="10" fontId="2" fillId="9" borderId="0" xfId="2" applyNumberFormat="1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7" xfId="1" applyFont="1" applyBorder="1" applyAlignment="1">
      <alignment horizontal="center"/>
    </xf>
    <xf numFmtId="10" fontId="10" fillId="0" borderId="0" xfId="2" applyNumberFormat="1" applyFont="1"/>
    <xf numFmtId="10" fontId="2" fillId="3" borderId="6" xfId="2" applyNumberFormat="1" applyFont="1" applyFill="1" applyBorder="1" applyAlignment="1">
      <alignment horizontal="center"/>
    </xf>
    <xf numFmtId="10" fontId="2" fillId="5" borderId="7" xfId="2" applyNumberFormat="1" applyFont="1" applyFill="1" applyBorder="1" applyAlignment="1">
      <alignment horizontal="center"/>
    </xf>
    <xf numFmtId="10" fontId="2" fillId="0" borderId="7" xfId="2" applyNumberFormat="1" applyFont="1" applyFill="1" applyBorder="1" applyAlignment="1">
      <alignment horizontal="center"/>
    </xf>
    <xf numFmtId="10" fontId="2" fillId="9" borderId="7" xfId="2" applyNumberFormat="1" applyFont="1" applyFill="1" applyBorder="1" applyAlignment="1">
      <alignment horizontal="center"/>
    </xf>
    <xf numFmtId="10" fontId="2" fillId="2" borderId="7" xfId="2" applyNumberFormat="1" applyFont="1" applyFill="1" applyBorder="1" applyAlignment="1">
      <alignment horizontal="center"/>
    </xf>
    <xf numFmtId="10" fontId="2" fillId="0" borderId="8" xfId="2" applyNumberFormat="1" applyFont="1" applyFill="1" applyBorder="1" applyAlignment="1">
      <alignment horizontal="center"/>
    </xf>
    <xf numFmtId="4" fontId="0" fillId="0" borderId="0" xfId="0" applyNumberFormat="1"/>
    <xf numFmtId="3" fontId="0" fillId="0" borderId="5" xfId="0" applyNumberFormat="1" applyBorder="1"/>
    <xf numFmtId="17" fontId="0" fillId="0" borderId="12" xfId="0" applyNumberFormat="1" applyBorder="1"/>
    <xf numFmtId="44" fontId="2" fillId="7" borderId="13" xfId="1" applyFont="1" applyFill="1" applyBorder="1"/>
    <xf numFmtId="3" fontId="2" fillId="0" borderId="13" xfId="1" applyNumberFormat="1" applyFont="1" applyBorder="1" applyAlignment="1">
      <alignment horizontal="center"/>
    </xf>
    <xf numFmtId="10" fontId="6" fillId="0" borderId="0" xfId="2" applyNumberFormat="1" applyFont="1" applyAlignment="1">
      <alignment horizontal="center"/>
    </xf>
    <xf numFmtId="10" fontId="2" fillId="0" borderId="0" xfId="2" applyNumberFormat="1" applyFont="1" applyBorder="1" applyAlignment="1">
      <alignment horizontal="center"/>
    </xf>
    <xf numFmtId="9" fontId="2" fillId="0" borderId="3" xfId="2" applyFont="1" applyFill="1" applyBorder="1" applyAlignment="1"/>
    <xf numFmtId="44" fontId="0" fillId="9" borderId="13" xfId="0" applyNumberFormat="1" applyFill="1" applyBorder="1" applyAlignment="1">
      <alignment horizontal="center"/>
    </xf>
    <xf numFmtId="3" fontId="0" fillId="9" borderId="13" xfId="0" applyNumberFormat="1" applyFill="1" applyBorder="1" applyAlignment="1">
      <alignment horizontal="center"/>
    </xf>
    <xf numFmtId="44" fontId="0" fillId="2" borderId="13" xfId="0" applyNumberFormat="1" applyFill="1" applyBorder="1" applyAlignment="1">
      <alignment horizontal="center"/>
    </xf>
    <xf numFmtId="44" fontId="5" fillId="5" borderId="13" xfId="1" applyFont="1" applyFill="1" applyBorder="1" applyAlignment="1">
      <alignment horizontal="center"/>
    </xf>
    <xf numFmtId="3" fontId="0" fillId="5" borderId="13" xfId="0" applyNumberFormat="1" applyFill="1" applyBorder="1" applyAlignment="1">
      <alignment horizontal="center"/>
    </xf>
    <xf numFmtId="3" fontId="0" fillId="9" borderId="0" xfId="0" applyNumberFormat="1" applyFill="1"/>
    <xf numFmtId="44" fontId="2" fillId="29" borderId="4" xfId="1" applyFont="1" applyFill="1" applyBorder="1" applyAlignment="1"/>
    <xf numFmtId="10" fontId="2" fillId="29" borderId="0" xfId="2" applyNumberFormat="1" applyFont="1" applyFill="1" applyBorder="1" applyAlignment="1"/>
    <xf numFmtId="44" fontId="2" fillId="29" borderId="4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0" fontId="6" fillId="0" borderId="0" xfId="2" applyNumberFormat="1" applyFont="1" applyFill="1" applyAlignment="1">
      <alignment horizontal="center"/>
    </xf>
    <xf numFmtId="3" fontId="2" fillId="7" borderId="0" xfId="0" applyNumberFormat="1" applyFont="1" applyFill="1" applyAlignment="1">
      <alignment horizontal="center"/>
    </xf>
    <xf numFmtId="44" fontId="2" fillId="7" borderId="0" xfId="0" applyNumberFormat="1" applyFont="1" applyFill="1"/>
    <xf numFmtId="0" fontId="2" fillId="7" borderId="0" xfId="0" applyFont="1" applyFill="1" applyAlignment="1">
      <alignment horizontal="right"/>
    </xf>
    <xf numFmtId="0" fontId="2" fillId="6" borderId="0" xfId="0" applyFont="1" applyFill="1" applyAlignment="1">
      <alignment horizontal="right"/>
    </xf>
    <xf numFmtId="44" fontId="2" fillId="6" borderId="0" xfId="0" applyNumberFormat="1" applyFont="1" applyFill="1"/>
    <xf numFmtId="4" fontId="2" fillId="6" borderId="0" xfId="1" applyNumberFormat="1" applyFont="1" applyFill="1" applyBorder="1" applyAlignment="1">
      <alignment horizontal="center"/>
    </xf>
    <xf numFmtId="10" fontId="2" fillId="6" borderId="0" xfId="2" applyNumberFormat="1" applyFont="1" applyFill="1" applyAlignment="1">
      <alignment horizontal="center"/>
    </xf>
    <xf numFmtId="9" fontId="2" fillId="6" borderId="0" xfId="2" applyFont="1" applyFill="1" applyAlignment="1">
      <alignment horizontal="center"/>
    </xf>
    <xf numFmtId="164" fontId="0" fillId="0" borderId="0" xfId="0" applyNumberFormat="1"/>
    <xf numFmtId="164" fontId="6" fillId="5" borderId="4" xfId="1" applyNumberFormat="1" applyFont="1" applyFill="1" applyBorder="1" applyAlignment="1"/>
    <xf numFmtId="165" fontId="0" fillId="21" borderId="0" xfId="0" applyNumberFormat="1" applyFill="1" applyAlignment="1">
      <alignment horizontal="center"/>
    </xf>
    <xf numFmtId="165" fontId="0" fillId="5" borderId="0" xfId="0" applyNumberFormat="1" applyFill="1" applyAlignment="1">
      <alignment horizontal="center"/>
    </xf>
    <xf numFmtId="165" fontId="0" fillId="9" borderId="0" xfId="0" applyNumberFormat="1" applyFill="1" applyAlignment="1">
      <alignment horizontal="center"/>
    </xf>
    <xf numFmtId="165" fontId="0" fillId="13" borderId="0" xfId="0" applyNumberFormat="1" applyFill="1" applyAlignment="1">
      <alignment horizontal="center"/>
    </xf>
    <xf numFmtId="165" fontId="0" fillId="14" borderId="0" xfId="0" applyNumberFormat="1" applyFill="1" applyAlignment="1">
      <alignment horizontal="center"/>
    </xf>
    <xf numFmtId="165" fontId="0" fillId="15" borderId="0" xfId="0" applyNumberFormat="1" applyFill="1" applyAlignment="1">
      <alignment horizontal="center"/>
    </xf>
    <xf numFmtId="165" fontId="0" fillId="18" borderId="0" xfId="0" applyNumberFormat="1" applyFill="1" applyAlignment="1">
      <alignment horizontal="center"/>
    </xf>
    <xf numFmtId="165" fontId="0" fillId="16" borderId="0" xfId="0" applyNumberFormat="1" applyFill="1" applyAlignment="1">
      <alignment horizontal="center"/>
    </xf>
    <xf numFmtId="165" fontId="0" fillId="17" borderId="0" xfId="0" applyNumberFormat="1" applyFill="1" applyAlignment="1">
      <alignment horizontal="center"/>
    </xf>
    <xf numFmtId="165" fontId="0" fillId="7" borderId="0" xfId="0" applyNumberFormat="1" applyFill="1" applyAlignment="1">
      <alignment horizontal="center"/>
    </xf>
    <xf numFmtId="165" fontId="0" fillId="12" borderId="0" xfId="0" applyNumberFormat="1" applyFill="1" applyAlignment="1">
      <alignment horizontal="center"/>
    </xf>
    <xf numFmtId="165" fontId="0" fillId="6" borderId="0" xfId="0" applyNumberFormat="1" applyFill="1" applyAlignment="1">
      <alignment horizontal="center"/>
    </xf>
    <xf numFmtId="4" fontId="2" fillId="0" borderId="0" xfId="0" applyNumberFormat="1" applyFont="1"/>
    <xf numFmtId="44" fontId="13" fillId="0" borderId="0" xfId="0" applyNumberFormat="1" applyFont="1"/>
    <xf numFmtId="3" fontId="11" fillId="2" borderId="3" xfId="0" applyNumberFormat="1" applyFont="1" applyFill="1" applyBorder="1" applyAlignment="1">
      <alignment horizontal="center"/>
    </xf>
    <xf numFmtId="3" fontId="11" fillId="2" borderId="5" xfId="0" applyNumberFormat="1" applyFont="1" applyFill="1" applyBorder="1" applyAlignment="1">
      <alignment horizontal="center"/>
    </xf>
    <xf numFmtId="3" fontId="11" fillId="0" borderId="8" xfId="0" applyNumberFormat="1" applyFont="1" applyBorder="1"/>
    <xf numFmtId="3" fontId="12" fillId="2" borderId="14" xfId="0" applyNumberFormat="1" applyFont="1" applyFill="1" applyBorder="1" applyAlignment="1">
      <alignment horizontal="center"/>
    </xf>
    <xf numFmtId="3" fontId="2" fillId="23" borderId="0" xfId="0" applyNumberFormat="1" applyFont="1" applyFill="1" applyAlignment="1">
      <alignment horizontal="center"/>
    </xf>
    <xf numFmtId="3" fontId="2" fillId="6" borderId="0" xfId="0" applyNumberFormat="1" applyFont="1" applyFill="1" applyAlignment="1">
      <alignment horizontal="center"/>
    </xf>
    <xf numFmtId="3" fontId="6" fillId="0" borderId="0" xfId="1" applyNumberFormat="1" applyFont="1" applyBorder="1" applyAlignment="1">
      <alignment horizontal="center"/>
    </xf>
    <xf numFmtId="3" fontId="11" fillId="20" borderId="0" xfId="0" applyNumberFormat="1" applyFont="1" applyFill="1" applyAlignment="1">
      <alignment horizontal="center"/>
    </xf>
    <xf numFmtId="10" fontId="11" fillId="0" borderId="0" xfId="2" applyNumberFormat="1" applyFont="1"/>
    <xf numFmtId="9" fontId="0" fillId="0" borderId="0" xfId="2" applyFont="1" applyAlignment="1">
      <alignment horizontal="center"/>
    </xf>
    <xf numFmtId="44" fontId="2" fillId="0" borderId="2" xfId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3" fontId="0" fillId="7" borderId="4" xfId="0" applyNumberFormat="1" applyFill="1" applyBorder="1" applyAlignment="1">
      <alignment horizontal="center"/>
    </xf>
    <xf numFmtId="3" fontId="0" fillId="28" borderId="5" xfId="0" applyNumberFormat="1" applyFill="1" applyBorder="1" applyAlignment="1">
      <alignment horizontal="center"/>
    </xf>
    <xf numFmtId="3" fontId="0" fillId="28" borderId="0" xfId="0" applyNumberFormat="1" applyFill="1" applyAlignment="1">
      <alignment horizontal="center"/>
    </xf>
    <xf numFmtId="3" fontId="0" fillId="28" borderId="4" xfId="0" applyNumberFormat="1" applyFill="1" applyBorder="1" applyAlignment="1">
      <alignment horizontal="center"/>
    </xf>
    <xf numFmtId="17" fontId="0" fillId="3" borderId="9" xfId="0" applyNumberFormat="1" applyFill="1" applyBorder="1"/>
    <xf numFmtId="17" fontId="0" fillId="3" borderId="10" xfId="0" applyNumberFormat="1" applyFill="1" applyBorder="1"/>
    <xf numFmtId="17" fontId="0" fillId="3" borderId="11" xfId="0" applyNumberFormat="1" applyFill="1" applyBorder="1"/>
    <xf numFmtId="10" fontId="2" fillId="3" borderId="5" xfId="2" applyNumberFormat="1" applyFont="1" applyFill="1" applyBorder="1" applyAlignment="1">
      <alignment horizontal="center"/>
    </xf>
    <xf numFmtId="10" fontId="2" fillId="2" borderId="3" xfId="2" applyNumberFormat="1" applyFont="1" applyFill="1" applyBorder="1" applyAlignment="1">
      <alignment horizontal="center"/>
    </xf>
    <xf numFmtId="10" fontId="2" fillId="2" borderId="1" xfId="2" applyNumberFormat="1" applyFont="1" applyFill="1" applyBorder="1" applyAlignment="1">
      <alignment horizontal="center"/>
    </xf>
    <xf numFmtId="3" fontId="0" fillId="2" borderId="1" xfId="0" applyNumberFormat="1" applyFill="1" applyBorder="1"/>
    <xf numFmtId="3" fontId="0" fillId="2" borderId="4" xfId="0" applyNumberFormat="1" applyFill="1" applyBorder="1"/>
    <xf numFmtId="3" fontId="0" fillId="0" borderId="6" xfId="0" applyNumberFormat="1" applyBorder="1"/>
    <xf numFmtId="3" fontId="0" fillId="2" borderId="6" xfId="0" applyNumberFormat="1" applyFill="1" applyBorder="1"/>
    <xf numFmtId="3" fontId="12" fillId="2" borderId="8" xfId="0" applyNumberFormat="1" applyFont="1" applyFill="1" applyBorder="1" applyAlignment="1">
      <alignment horizontal="center"/>
    </xf>
    <xf numFmtId="3" fontId="0" fillId="0" borderId="4" xfId="0" applyNumberFormat="1" applyBorder="1"/>
    <xf numFmtId="3" fontId="0" fillId="2" borderId="12" xfId="0" applyNumberFormat="1" applyFill="1" applyBorder="1" applyAlignment="1">
      <alignment horizontal="center"/>
    </xf>
    <xf numFmtId="17" fontId="0" fillId="3" borderId="9" xfId="0" applyNumberFormat="1" applyFill="1" applyBorder="1" applyAlignment="1">
      <alignment horizontal="right"/>
    </xf>
    <xf numFmtId="17" fontId="0" fillId="3" borderId="10" xfId="0" applyNumberFormat="1" applyFill="1" applyBorder="1" applyAlignment="1">
      <alignment horizontal="right"/>
    </xf>
    <xf numFmtId="17" fontId="0" fillId="3" borderId="11" xfId="0" applyNumberFormat="1" applyFill="1" applyBorder="1" applyAlignment="1">
      <alignment horizontal="right"/>
    </xf>
    <xf numFmtId="44" fontId="14" fillId="0" borderId="0" xfId="1" applyFont="1"/>
    <xf numFmtId="3" fontId="8" fillId="2" borderId="3" xfId="0" applyNumberFormat="1" applyFont="1" applyFill="1" applyBorder="1" applyAlignment="1">
      <alignment horizontal="center"/>
    </xf>
    <xf numFmtId="3" fontId="8" fillId="2" borderId="5" xfId="0" applyNumberFormat="1" applyFont="1" applyFill="1" applyBorder="1" applyAlignment="1">
      <alignment horizontal="center"/>
    </xf>
    <xf numFmtId="3" fontId="8" fillId="0" borderId="8" xfId="0" applyNumberFormat="1" applyFont="1" applyBorder="1"/>
    <xf numFmtId="3" fontId="6" fillId="2" borderId="0" xfId="0" applyNumberFormat="1" applyFont="1" applyFill="1" applyAlignment="1">
      <alignment horizontal="center"/>
    </xf>
    <xf numFmtId="44" fontId="6" fillId="0" borderId="0" xfId="1" applyFont="1"/>
    <xf numFmtId="3" fontId="12" fillId="0" borderId="0" xfId="0" applyNumberFormat="1" applyFont="1" applyAlignment="1">
      <alignment horizontal="center"/>
    </xf>
    <xf numFmtId="4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0" fontId="0" fillId="10" borderId="4" xfId="2" applyNumberFormat="1" applyFont="1" applyFill="1" applyBorder="1" applyAlignment="1">
      <alignment horizontal="center"/>
    </xf>
    <xf numFmtId="44" fontId="0" fillId="10" borderId="5" xfId="1" applyFont="1" applyFill="1" applyBorder="1" applyAlignment="1">
      <alignment horizontal="center"/>
    </xf>
    <xf numFmtId="10" fontId="0" fillId="10" borderId="10" xfId="2" applyNumberFormat="1" applyFont="1" applyFill="1" applyBorder="1" applyAlignment="1">
      <alignment horizontal="center"/>
    </xf>
    <xf numFmtId="10" fontId="2" fillId="0" borderId="0" xfId="2" applyNumberFormat="1" applyFont="1" applyBorder="1" applyAlignment="1"/>
    <xf numFmtId="44" fontId="2" fillId="0" borderId="4" xfId="1" applyFont="1" applyBorder="1" applyAlignment="1"/>
    <xf numFmtId="44" fontId="0" fillId="4" borderId="7" xfId="1" applyFont="1" applyFill="1" applyBorder="1" applyAlignment="1">
      <alignment horizontal="center"/>
    </xf>
    <xf numFmtId="10" fontId="0" fillId="4" borderId="7" xfId="2" applyNumberFormat="1" applyFont="1" applyFill="1" applyBorder="1" applyAlignment="1">
      <alignment horizontal="center"/>
    </xf>
    <xf numFmtId="10" fontId="0" fillId="4" borderId="8" xfId="2" applyNumberFormat="1" applyFont="1" applyFill="1" applyBorder="1" applyAlignment="1">
      <alignment horizontal="center"/>
    </xf>
    <xf numFmtId="9" fontId="2" fillId="0" borderId="0" xfId="0" applyNumberFormat="1" applyFont="1"/>
    <xf numFmtId="17" fontId="0" fillId="27" borderId="4" xfId="0" applyNumberFormat="1" applyFill="1" applyBorder="1"/>
    <xf numFmtId="17" fontId="0" fillId="27" borderId="1" xfId="0" applyNumberFormat="1" applyFill="1" applyBorder="1"/>
    <xf numFmtId="10" fontId="0" fillId="0" borderId="0" xfId="2" applyNumberFormat="1" applyFont="1" applyAlignment="1">
      <alignment horizontal="center"/>
    </xf>
    <xf numFmtId="10" fontId="16" fillId="0" borderId="0" xfId="2" applyNumberFormat="1" applyFont="1"/>
    <xf numFmtId="10" fontId="11" fillId="0" borderId="0" xfId="2" applyNumberFormat="1" applyFont="1" applyAlignment="1">
      <alignment horizontal="center"/>
    </xf>
    <xf numFmtId="44" fontId="0" fillId="5" borderId="0" xfId="1" applyFont="1" applyFill="1"/>
    <xf numFmtId="44" fontId="0" fillId="5" borderId="0" xfId="0" applyNumberFormat="1" applyFill="1"/>
    <xf numFmtId="9" fontId="0" fillId="5" borderId="0" xfId="2" applyFont="1" applyFill="1" applyAlignment="1">
      <alignment horizontal="center"/>
    </xf>
    <xf numFmtId="10" fontId="11" fillId="5" borderId="0" xfId="2" applyNumberFormat="1" applyFont="1" applyFill="1" applyAlignment="1">
      <alignment horizontal="center"/>
    </xf>
    <xf numFmtId="44" fontId="0" fillId="3" borderId="0" xfId="1" applyFont="1" applyFill="1"/>
    <xf numFmtId="44" fontId="0" fillId="3" borderId="0" xfId="0" applyNumberFormat="1" applyFill="1"/>
    <xf numFmtId="9" fontId="0" fillId="3" borderId="0" xfId="2" applyFont="1" applyFill="1" applyAlignment="1">
      <alignment horizontal="center"/>
    </xf>
    <xf numFmtId="10" fontId="11" fillId="3" borderId="0" xfId="2" applyNumberFormat="1" applyFont="1" applyFill="1" applyAlignment="1">
      <alignment horizontal="center"/>
    </xf>
    <xf numFmtId="44" fontId="0" fillId="8" borderId="0" xfId="1" applyFont="1" applyFill="1"/>
    <xf numFmtId="44" fontId="0" fillId="8" borderId="0" xfId="0" applyNumberFormat="1" applyFill="1"/>
    <xf numFmtId="9" fontId="0" fillId="8" borderId="0" xfId="2" applyFont="1" applyFill="1" applyAlignment="1">
      <alignment horizontal="center"/>
    </xf>
    <xf numFmtId="10" fontId="11" fillId="8" borderId="0" xfId="2" applyNumberFormat="1" applyFont="1" applyFill="1" applyAlignment="1">
      <alignment horizontal="center"/>
    </xf>
    <xf numFmtId="44" fontId="0" fillId="30" borderId="0" xfId="1" applyFont="1" applyFill="1"/>
    <xf numFmtId="44" fontId="0" fillId="30" borderId="0" xfId="0" applyNumberFormat="1" applyFill="1"/>
    <xf numFmtId="9" fontId="0" fillId="30" borderId="0" xfId="2" applyFont="1" applyFill="1" applyAlignment="1">
      <alignment horizontal="center"/>
    </xf>
    <xf numFmtId="10" fontId="11" fillId="30" borderId="0" xfId="2" applyNumberFormat="1" applyFont="1" applyFill="1" applyAlignment="1">
      <alignment horizontal="center"/>
    </xf>
    <xf numFmtId="10" fontId="0" fillId="0" borderId="0" xfId="0" applyNumberFormat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10" fontId="2" fillId="5" borderId="2" xfId="2" applyNumberFormat="1" applyFont="1" applyFill="1" applyBorder="1" applyAlignment="1">
      <alignment horizontal="center"/>
    </xf>
    <xf numFmtId="10" fontId="2" fillId="9" borderId="2" xfId="2" applyNumberFormat="1" applyFont="1" applyFill="1" applyBorder="1" applyAlignment="1">
      <alignment horizontal="center"/>
    </xf>
    <xf numFmtId="10" fontId="2" fillId="3" borderId="0" xfId="2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12" xfId="0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4" fillId="12" borderId="12" xfId="0" applyFont="1" applyFill="1" applyBorder="1" applyAlignment="1">
      <alignment horizontal="center"/>
    </xf>
    <xf numFmtId="0" fontId="4" fillId="12" borderId="13" xfId="0" applyFont="1" applyFill="1" applyBorder="1" applyAlignment="1">
      <alignment horizontal="center"/>
    </xf>
    <xf numFmtId="0" fontId="4" fillId="12" borderId="14" xfId="0" applyFont="1" applyFill="1" applyBorder="1" applyAlignment="1">
      <alignment horizontal="center"/>
    </xf>
    <xf numFmtId="10" fontId="2" fillId="2" borderId="2" xfId="2" applyNumberFormat="1" applyFont="1" applyFill="1" applyBorder="1" applyAlignment="1">
      <alignment horizontal="center"/>
    </xf>
    <xf numFmtId="10" fontId="2" fillId="8" borderId="2" xfId="2" applyNumberFormat="1" applyFont="1" applyFill="1" applyBorder="1" applyAlignment="1">
      <alignment horizontal="center"/>
    </xf>
    <xf numFmtId="0" fontId="4" fillId="24" borderId="7" xfId="0" applyFont="1" applyFill="1" applyBorder="1" applyAlignment="1">
      <alignment horizontal="center"/>
    </xf>
    <xf numFmtId="0" fontId="4" fillId="24" borderId="8" xfId="0" applyFont="1" applyFill="1" applyBorder="1" applyAlignment="1">
      <alignment horizontal="center"/>
    </xf>
    <xf numFmtId="0" fontId="4" fillId="24" borderId="0" xfId="0" applyFont="1" applyFill="1" applyAlignment="1">
      <alignment horizontal="center"/>
    </xf>
    <xf numFmtId="0" fontId="4" fillId="25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10" fontId="2" fillId="5" borderId="3" xfId="2" applyNumberFormat="1" applyFont="1" applyFill="1" applyBorder="1" applyAlignment="1">
      <alignment horizontal="center"/>
    </xf>
    <xf numFmtId="10" fontId="2" fillId="3" borderId="5" xfId="2" applyNumberFormat="1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10" fontId="2" fillId="2" borderId="3" xfId="2" applyNumberFormat="1" applyFont="1" applyFill="1" applyBorder="1" applyAlignment="1">
      <alignment horizontal="center"/>
    </xf>
    <xf numFmtId="0" fontId="4" fillId="24" borderId="12" xfId="0" applyFont="1" applyFill="1" applyBorder="1" applyAlignment="1">
      <alignment horizontal="center"/>
    </xf>
    <xf numFmtId="0" fontId="4" fillId="24" borderId="13" xfId="0" applyFont="1" applyFill="1" applyBorder="1" applyAlignment="1">
      <alignment horizontal="center"/>
    </xf>
    <xf numFmtId="0" fontId="4" fillId="24" borderId="14" xfId="0" applyFont="1" applyFill="1" applyBorder="1" applyAlignment="1">
      <alignment horizontal="center"/>
    </xf>
    <xf numFmtId="0" fontId="4" fillId="22" borderId="12" xfId="0" applyFont="1" applyFill="1" applyBorder="1" applyAlignment="1">
      <alignment horizontal="center"/>
    </xf>
    <xf numFmtId="0" fontId="4" fillId="22" borderId="13" xfId="0" applyFont="1" applyFill="1" applyBorder="1" applyAlignment="1">
      <alignment horizontal="center"/>
    </xf>
    <xf numFmtId="0" fontId="4" fillId="22" borderId="14" xfId="0" applyFont="1" applyFill="1" applyBorder="1" applyAlignment="1">
      <alignment horizontal="center"/>
    </xf>
    <xf numFmtId="4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center"/>
    </xf>
    <xf numFmtId="4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4" fillId="27" borderId="12" xfId="0" applyFont="1" applyFill="1" applyBorder="1" applyAlignment="1">
      <alignment horizontal="center"/>
    </xf>
    <xf numFmtId="0" fontId="4" fillId="27" borderId="13" xfId="0" applyFont="1" applyFill="1" applyBorder="1" applyAlignment="1">
      <alignment horizontal="center"/>
    </xf>
    <xf numFmtId="0" fontId="4" fillId="27" borderId="14" xfId="0" applyFont="1" applyFill="1" applyBorder="1" applyAlignment="1">
      <alignment horizontal="center"/>
    </xf>
    <xf numFmtId="9" fontId="2" fillId="0" borderId="2" xfId="2" applyFont="1" applyFill="1" applyBorder="1" applyAlignment="1">
      <alignment horizontal="center"/>
    </xf>
    <xf numFmtId="9" fontId="2" fillId="0" borderId="3" xfId="2" applyFont="1" applyFill="1" applyBorder="1" applyAlignment="1">
      <alignment horizontal="center"/>
    </xf>
    <xf numFmtId="10" fontId="2" fillId="5" borderId="0" xfId="2" applyNumberFormat="1" applyFont="1" applyFill="1" applyBorder="1" applyAlignment="1">
      <alignment horizontal="center"/>
    </xf>
    <xf numFmtId="10" fontId="2" fillId="11" borderId="0" xfId="2" applyNumberFormat="1" applyFont="1" applyFill="1" applyBorder="1" applyAlignment="1">
      <alignment horizontal="center"/>
    </xf>
    <xf numFmtId="10" fontId="2" fillId="2" borderId="0" xfId="2" applyNumberFormat="1" applyFont="1" applyFill="1" applyBorder="1" applyAlignment="1">
      <alignment horizontal="center"/>
    </xf>
    <xf numFmtId="10" fontId="2" fillId="2" borderId="5" xfId="2" applyNumberFormat="1" applyFont="1" applyFill="1" applyBorder="1" applyAlignment="1">
      <alignment horizontal="center"/>
    </xf>
    <xf numFmtId="44" fontId="0" fillId="0" borderId="0" xfId="0" applyNumberFormat="1" applyAlignment="1">
      <alignment horizontal="center"/>
    </xf>
    <xf numFmtId="44" fontId="0" fillId="0" borderId="0" xfId="1" applyFont="1" applyAlignment="1">
      <alignment horizontal="center"/>
    </xf>
  </cellXfs>
  <cellStyles count="6">
    <cellStyle name="Moeda" xfId="1" builtinId="4"/>
    <cellStyle name="Moeda 2" xfId="5" xr:uid="{6FE19ECC-6C4F-2046-ADE3-2B284A413348}"/>
    <cellStyle name="Normal" xfId="0" builtinId="0"/>
    <cellStyle name="Normal 2" xfId="3" xr:uid="{DB05FE40-8149-4546-9C5A-71F4C57D0BCC}"/>
    <cellStyle name="Porcentagem" xfId="2" builtinId="5"/>
    <cellStyle name="Porcentagem 2" xfId="4" xr:uid="{E614B439-2CE6-E94B-ABE5-7AE3769D47E0}"/>
  </cellStyles>
  <dxfs count="4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FA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89996032593768116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0432FF"/>
      <color rgb="FFFFFC00"/>
      <color rgb="FFD5FC79"/>
      <color rgb="FF00FDFF"/>
      <color rgb="FFFF7E79"/>
      <color rgb="FF00FA00"/>
      <color rgb="FFFF40FF"/>
      <color rgb="FF8EFA00"/>
      <color rgb="FF929000"/>
      <color rgb="FF73FD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77331AE-C9B4-354D-B06C-AAF8C285A4E3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238f4526-1e75-4c8f-80d1-e2917bf4c499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591C8492-9291-4344-AD96-983BAB1F1746}">
  <we:reference id="wa200009404" version="1.0.0.8" store="pt-BR" storeType="OMEX"/>
  <we:alternateReferences>
    <we:reference id="WA200009404" version="1.0.0.8" store="" storeType="OMEX"/>
  </we:alternateReferences>
  <we:properties>
    <we:property name="claude.fileId" value="&quot;b30b29b1-8e7d-455e-ae41-281325dbf64c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A8AF7-22CE-C042-AA3B-E32EE89588E5}">
  <sheetPr>
    <tabColor theme="9" tint="0.79998168889431442"/>
    <pageSetUpPr fitToPage="1"/>
  </sheetPr>
  <dimension ref="A2:L80"/>
  <sheetViews>
    <sheetView topLeftCell="A18" zoomScale="70" zoomScaleNormal="70" workbookViewId="0">
      <selection activeCell="L74" sqref="L74"/>
    </sheetView>
  </sheetViews>
  <sheetFormatPr defaultColWidth="11.19921875" defaultRowHeight="15.6" x14ac:dyDescent="0.3"/>
  <cols>
    <col min="1" max="1" width="9" customWidth="1"/>
    <col min="2" max="2" width="9.19921875" style="25" customWidth="1"/>
    <col min="4" max="4" width="18" customWidth="1"/>
    <col min="5" max="5" width="17.796875" customWidth="1"/>
    <col min="6" max="7" width="18.19921875" customWidth="1"/>
    <col min="8" max="8" width="17" customWidth="1"/>
    <col min="9" max="9" width="2" customWidth="1"/>
    <col min="10" max="10" width="16.69921875" style="1" bestFit="1" customWidth="1"/>
    <col min="11" max="11" width="25.296875" style="25" customWidth="1"/>
    <col min="12" max="12" width="16.69921875" bestFit="1" customWidth="1"/>
  </cols>
  <sheetData>
    <row r="2" spans="1:11" x14ac:dyDescent="0.3">
      <c r="D2" s="34"/>
      <c r="E2" s="230">
        <v>32443436.059999999</v>
      </c>
    </row>
    <row r="3" spans="1:11" x14ac:dyDescent="0.3">
      <c r="D3" s="3"/>
    </row>
    <row r="4" spans="1:11" x14ac:dyDescent="0.3">
      <c r="B4" s="355"/>
    </row>
    <row r="5" spans="1:11" ht="24" customHeight="1" x14ac:dyDescent="0.4">
      <c r="B5" s="355"/>
      <c r="C5" s="289">
        <v>232</v>
      </c>
      <c r="D5" s="438" t="s">
        <v>72</v>
      </c>
      <c r="E5" s="438"/>
      <c r="F5" s="438"/>
      <c r="G5" s="438"/>
      <c r="H5" s="438"/>
    </row>
    <row r="6" spans="1:11" x14ac:dyDescent="0.3">
      <c r="B6" s="355"/>
      <c r="D6" s="22">
        <v>32556563.939999998</v>
      </c>
      <c r="E6" s="17"/>
      <c r="F6" s="17" t="s">
        <v>37</v>
      </c>
      <c r="G6" s="17" t="s">
        <v>38</v>
      </c>
      <c r="H6" s="18" t="s">
        <v>73</v>
      </c>
    </row>
    <row r="7" spans="1:11" x14ac:dyDescent="0.3">
      <c r="B7" s="355"/>
      <c r="D7" s="394">
        <v>40</v>
      </c>
      <c r="E7" s="393"/>
      <c r="F7" s="115">
        <v>2E-3</v>
      </c>
      <c r="G7" s="115">
        <v>1.4999999999999999E-2</v>
      </c>
      <c r="H7" s="282"/>
    </row>
    <row r="8" spans="1:11" x14ac:dyDescent="0.3">
      <c r="B8" s="355"/>
      <c r="C8" s="25"/>
      <c r="D8" s="276" t="s">
        <v>2</v>
      </c>
      <c r="E8" s="395" t="s">
        <v>0</v>
      </c>
      <c r="F8" s="396"/>
      <c r="G8" s="395"/>
      <c r="H8" s="397" t="s">
        <v>3</v>
      </c>
    </row>
    <row r="9" spans="1:11" x14ac:dyDescent="0.3">
      <c r="A9" s="25">
        <v>6.9381002866449881E-2</v>
      </c>
      <c r="B9" s="355">
        <v>7.032814972582635E-2</v>
      </c>
      <c r="C9" s="267">
        <v>45658</v>
      </c>
      <c r="D9" s="32">
        <v>2289642.9033307591</v>
      </c>
      <c r="E9" s="12">
        <f>D9/$D$7</f>
        <v>57241.072583268979</v>
      </c>
      <c r="F9" s="27">
        <f>D9*$F$7</f>
        <v>4579.2858066615181</v>
      </c>
      <c r="G9" s="6">
        <f>D9*$G$7</f>
        <v>34344.643549961387</v>
      </c>
      <c r="H9" s="42">
        <f>F9+G9</f>
        <v>38923.929356622903</v>
      </c>
      <c r="J9" s="6"/>
      <c r="K9" s="3"/>
    </row>
    <row r="10" spans="1:11" x14ac:dyDescent="0.3">
      <c r="A10" s="25">
        <v>0.10137708181333881</v>
      </c>
      <c r="B10" s="355">
        <v>8.6162265307372046E-2</v>
      </c>
      <c r="C10" s="268">
        <v>45689</v>
      </c>
      <c r="D10" s="32">
        <v>2805147.299694702</v>
      </c>
      <c r="E10" s="12">
        <f>D10/$D$7</f>
        <v>70128.682492367545</v>
      </c>
      <c r="F10" s="27">
        <f t="shared" ref="F10:F20" si="0">D10*$F$7</f>
        <v>5610.2945993894045</v>
      </c>
      <c r="G10" s="6">
        <f t="shared" ref="G10:G20" si="1">D10*$G$7</f>
        <v>42077.209495420531</v>
      </c>
      <c r="H10" s="42">
        <f t="shared" ref="H10:H20" si="2">F10+G10</f>
        <v>47687.504094809934</v>
      </c>
      <c r="K10" s="3"/>
    </row>
    <row r="11" spans="1:11" x14ac:dyDescent="0.3">
      <c r="A11" s="25">
        <v>8.7520936146580589E-2</v>
      </c>
      <c r="B11" s="355">
        <v>8.0275022601279999E-2</v>
      </c>
      <c r="C11" s="268">
        <v>45717</v>
      </c>
      <c r="D11" s="32">
        <v>2613478.9061035174</v>
      </c>
      <c r="E11" s="12">
        <f t="shared" ref="E11:E20" si="3">D11/$D$7</f>
        <v>65336.972652587938</v>
      </c>
      <c r="F11" s="27">
        <f t="shared" si="0"/>
        <v>5226.9578122070352</v>
      </c>
      <c r="G11" s="6">
        <f t="shared" si="1"/>
        <v>39202.183591552763</v>
      </c>
      <c r="H11" s="42">
        <f t="shared" si="2"/>
        <v>44429.141403759801</v>
      </c>
    </row>
    <row r="12" spans="1:11" x14ac:dyDescent="0.3">
      <c r="A12" s="25">
        <v>7.1736784036792747E-2</v>
      </c>
      <c r="B12" s="355">
        <v>7.6457837001241993E-2</v>
      </c>
      <c r="C12" s="268">
        <v>45748</v>
      </c>
      <c r="D12" s="32">
        <v>2489204.459045033</v>
      </c>
      <c r="E12" s="12">
        <f t="shared" si="3"/>
        <v>62230.111476125821</v>
      </c>
      <c r="F12" s="27">
        <f t="shared" si="0"/>
        <v>4978.4089180900664</v>
      </c>
      <c r="G12" s="6">
        <f t="shared" si="1"/>
        <v>37338.066885675493</v>
      </c>
      <c r="H12" s="42">
        <f t="shared" si="2"/>
        <v>42316.475803765556</v>
      </c>
    </row>
    <row r="13" spans="1:11" x14ac:dyDescent="0.3">
      <c r="A13" s="25">
        <v>6.6123343723660771E-2</v>
      </c>
      <c r="B13" s="355">
        <v>6.9955617896044181E-2</v>
      </c>
      <c r="C13" s="268">
        <v>45778</v>
      </c>
      <c r="D13" s="32">
        <v>2277514.5469947709</v>
      </c>
      <c r="E13" s="12">
        <f t="shared" si="3"/>
        <v>56937.863674869273</v>
      </c>
      <c r="F13" s="27">
        <f t="shared" si="0"/>
        <v>4555.0290939895422</v>
      </c>
      <c r="G13" s="6">
        <f t="shared" si="1"/>
        <v>34162.718204921563</v>
      </c>
      <c r="H13" s="42">
        <f t="shared" si="2"/>
        <v>38717.747298911105</v>
      </c>
    </row>
    <row r="14" spans="1:11" x14ac:dyDescent="0.3">
      <c r="A14" s="25">
        <v>7.906644550322621E-2</v>
      </c>
      <c r="B14" s="355">
        <v>7.3453398790846391E-2</v>
      </c>
      <c r="C14" s="268">
        <v>45809</v>
      </c>
      <c r="D14" s="32">
        <v>2391390.2743445095</v>
      </c>
      <c r="E14" s="12">
        <f t="shared" si="3"/>
        <v>59784.756858612738</v>
      </c>
      <c r="F14" s="27">
        <f t="shared" si="0"/>
        <v>4782.7805486890193</v>
      </c>
      <c r="G14" s="6">
        <f t="shared" si="1"/>
        <v>35870.85411516764</v>
      </c>
      <c r="H14" s="42">
        <f t="shared" si="2"/>
        <v>40653.634663856661</v>
      </c>
    </row>
    <row r="15" spans="1:11" x14ac:dyDescent="0.3">
      <c r="A15" s="25">
        <v>9.5001597977900171E-2</v>
      </c>
      <c r="B15" s="355">
        <v>9.0145231051128372E-2</v>
      </c>
      <c r="C15" s="268">
        <v>45839</v>
      </c>
      <c r="D15" s="32">
        <v>2934818.9786021342</v>
      </c>
      <c r="E15" s="12">
        <f t="shared" si="3"/>
        <v>73370.474465053354</v>
      </c>
      <c r="F15" s="27">
        <f t="shared" si="0"/>
        <v>5869.6379572042688</v>
      </c>
      <c r="G15" s="6">
        <f t="shared" si="1"/>
        <v>44022.284679032011</v>
      </c>
      <c r="H15" s="42">
        <f t="shared" si="2"/>
        <v>49891.922636236282</v>
      </c>
    </row>
    <row r="16" spans="1:11" x14ac:dyDescent="0.3">
      <c r="A16" s="25">
        <v>9.4879764652001528E-2</v>
      </c>
      <c r="B16" s="355">
        <v>9.2244826191272972E-2</v>
      </c>
      <c r="C16" s="268">
        <v>45870</v>
      </c>
      <c r="D16" s="32">
        <v>3003174.5820303652</v>
      </c>
      <c r="E16" s="12">
        <f t="shared" si="3"/>
        <v>75079.364550759128</v>
      </c>
      <c r="F16" s="27">
        <f t="shared" si="0"/>
        <v>6006.3491640607308</v>
      </c>
      <c r="G16" s="6">
        <f t="shared" si="1"/>
        <v>45047.618730455477</v>
      </c>
      <c r="H16" s="42">
        <f t="shared" si="2"/>
        <v>51053.967894516209</v>
      </c>
    </row>
    <row r="17" spans="1:11" x14ac:dyDescent="0.3">
      <c r="A17" s="25">
        <v>8.8465196506954058E-2</v>
      </c>
      <c r="B17" s="355">
        <v>0.11325107373978077</v>
      </c>
      <c r="C17" s="268">
        <v>45901</v>
      </c>
      <c r="D17" s="32">
        <v>3687065.8234828277</v>
      </c>
      <c r="E17" s="12">
        <f t="shared" si="3"/>
        <v>92176.6455870707</v>
      </c>
      <c r="F17" s="27">
        <f t="shared" si="0"/>
        <v>7374.1316469656558</v>
      </c>
      <c r="G17" s="6">
        <f t="shared" si="1"/>
        <v>55305.987352242417</v>
      </c>
      <c r="H17" s="42">
        <f t="shared" si="2"/>
        <v>62680.118999208076</v>
      </c>
    </row>
    <row r="18" spans="1:11" x14ac:dyDescent="0.3">
      <c r="A18" s="25">
        <v>0.11654903870602046</v>
      </c>
      <c r="B18" s="355">
        <v>0.11964427951541379</v>
      </c>
      <c r="C18" s="268">
        <v>45931</v>
      </c>
      <c r="D18" s="32">
        <v>3895206.6360988012</v>
      </c>
      <c r="E18" s="12">
        <f t="shared" si="3"/>
        <v>97380.165902470035</v>
      </c>
      <c r="F18" s="27">
        <f t="shared" si="0"/>
        <v>7790.4132721976021</v>
      </c>
      <c r="G18" s="6">
        <f t="shared" si="1"/>
        <v>58428.099541482014</v>
      </c>
      <c r="H18" s="42">
        <f t="shared" si="2"/>
        <v>66218.512813679612</v>
      </c>
    </row>
    <row r="19" spans="1:11" x14ac:dyDescent="0.3">
      <c r="A19" s="25">
        <v>8.8968731836656836E-2</v>
      </c>
      <c r="B19" s="355">
        <v>9.1331511080468247E-2</v>
      </c>
      <c r="C19" s="268">
        <v>45962</v>
      </c>
      <c r="D19" s="32">
        <v>2973440.1802280829</v>
      </c>
      <c r="E19" s="12">
        <f t="shared" si="3"/>
        <v>74336.004505702076</v>
      </c>
      <c r="F19" s="27">
        <f t="shared" si="0"/>
        <v>5946.8803604561663</v>
      </c>
      <c r="G19" s="6">
        <f t="shared" si="1"/>
        <v>44601.602703421246</v>
      </c>
      <c r="H19" s="42">
        <f t="shared" si="2"/>
        <v>50548.483063877415</v>
      </c>
    </row>
    <row r="20" spans="1:11" x14ac:dyDescent="0.3">
      <c r="A20" s="25">
        <v>4.0930076230417868E-2</v>
      </c>
      <c r="B20" s="355">
        <v>3.6750787099324583E-2</v>
      </c>
      <c r="C20" s="268">
        <v>45992</v>
      </c>
      <c r="D20" s="32">
        <v>1196479.350044488</v>
      </c>
      <c r="E20" s="12">
        <f t="shared" si="3"/>
        <v>29911.983751112199</v>
      </c>
      <c r="F20" s="27">
        <f t="shared" si="0"/>
        <v>2392.958700088976</v>
      </c>
      <c r="G20" s="6">
        <f t="shared" si="1"/>
        <v>17947.190250667318</v>
      </c>
      <c r="H20" s="42">
        <f t="shared" si="2"/>
        <v>20340.148950756295</v>
      </c>
    </row>
    <row r="21" spans="1:11" x14ac:dyDescent="0.3">
      <c r="B21" s="355">
        <f>SUM(B9:B20)</f>
        <v>0.99999999999999944</v>
      </c>
      <c r="C21" s="7"/>
      <c r="D21" s="33"/>
      <c r="E21" s="21"/>
      <c r="F21" s="28"/>
      <c r="G21" s="9"/>
      <c r="H21" s="43"/>
      <c r="J21" s="356">
        <v>0.2</v>
      </c>
    </row>
    <row r="22" spans="1:11" x14ac:dyDescent="0.3">
      <c r="B22" s="355"/>
      <c r="C22" s="19"/>
      <c r="D22" s="23">
        <f t="shared" ref="D22:H22" si="4">SUM(D9:D21)</f>
        <v>32556563.939999998</v>
      </c>
      <c r="E22" s="24">
        <f t="shared" si="4"/>
        <v>813914.09849999985</v>
      </c>
      <c r="F22" s="27"/>
      <c r="G22" s="6"/>
      <c r="H22" s="273">
        <f t="shared" si="4"/>
        <v>553461.58697999991</v>
      </c>
      <c r="J22" s="388">
        <f>D22*J21</f>
        <v>6511312.7879999997</v>
      </c>
      <c r="K22" s="3"/>
    </row>
    <row r="23" spans="1:11" x14ac:dyDescent="0.3">
      <c r="B23" s="355"/>
      <c r="C23" s="19" t="s">
        <v>1</v>
      </c>
      <c r="D23" s="4">
        <f t="shared" ref="D23:E23" si="5">D22/12</f>
        <v>2713046.9949999996</v>
      </c>
      <c r="E23" s="12">
        <f t="shared" si="5"/>
        <v>67826.174874999982</v>
      </c>
      <c r="F23" s="27"/>
      <c r="G23" s="6"/>
      <c r="H23" s="274">
        <f>H22/12</f>
        <v>46121.798914999992</v>
      </c>
    </row>
    <row r="24" spans="1:11" x14ac:dyDescent="0.3">
      <c r="B24" s="355"/>
    </row>
    <row r="25" spans="1:11" ht="24" customHeight="1" x14ac:dyDescent="0.4">
      <c r="B25" s="355"/>
      <c r="C25" s="289"/>
      <c r="D25" s="436" t="s">
        <v>44</v>
      </c>
      <c r="E25" s="436"/>
      <c r="F25" s="436"/>
      <c r="G25" s="436"/>
      <c r="H25" s="436"/>
    </row>
    <row r="26" spans="1:11" s="1" customFormat="1" x14ac:dyDescent="0.3">
      <c r="B26" s="355"/>
      <c r="C26"/>
      <c r="D26" s="231">
        <v>32443436.059999999</v>
      </c>
      <c r="E26" s="357">
        <v>0.51</v>
      </c>
      <c r="F26" s="17" t="s">
        <v>37</v>
      </c>
      <c r="G26" s="18" t="s">
        <v>38</v>
      </c>
      <c r="H26" s="18" t="s">
        <v>73</v>
      </c>
      <c r="I26"/>
      <c r="K26" s="25"/>
    </row>
    <row r="27" spans="1:11" s="1" customFormat="1" x14ac:dyDescent="0.3">
      <c r="B27" s="355"/>
      <c r="C27"/>
      <c r="D27" s="281">
        <v>23</v>
      </c>
      <c r="E27" s="115"/>
      <c r="F27" s="120">
        <v>0.01</v>
      </c>
      <c r="G27" s="115">
        <v>0.03</v>
      </c>
      <c r="H27" s="282">
        <f>H42/D42</f>
        <v>0.04</v>
      </c>
      <c r="I27"/>
      <c r="K27" s="25"/>
    </row>
    <row r="28" spans="1:11" s="1" customFormat="1" x14ac:dyDescent="0.3">
      <c r="B28" s="355"/>
      <c r="C28" s="35"/>
      <c r="D28" s="277" t="s">
        <v>2</v>
      </c>
      <c r="E28" s="278" t="s">
        <v>0</v>
      </c>
      <c r="F28" s="279"/>
      <c r="G28" s="278" t="s">
        <v>52</v>
      </c>
      <c r="H28" s="280" t="s">
        <v>3</v>
      </c>
      <c r="I28"/>
      <c r="K28" s="25"/>
    </row>
    <row r="29" spans="1:11" s="1" customFormat="1" x14ac:dyDescent="0.3">
      <c r="A29" s="401">
        <v>3.8780950142000406E-2</v>
      </c>
      <c r="B29" s="355">
        <v>6.8400000000000002E-2</v>
      </c>
      <c r="C29" s="269">
        <v>45658</v>
      </c>
      <c r="D29" s="31">
        <v>2219131.0265040002</v>
      </c>
      <c r="E29" s="20">
        <f>D29/$D$27</f>
        <v>96483.957674086967</v>
      </c>
      <c r="F29" s="26">
        <f>D29*$F$27</f>
        <v>22191.310265040003</v>
      </c>
      <c r="G29" s="40">
        <f>D29*$G$27</f>
        <v>66573.930795120003</v>
      </c>
      <c r="H29" s="41">
        <f>F29+G29</f>
        <v>88765.241060160013</v>
      </c>
      <c r="I29"/>
      <c r="K29" s="25"/>
    </row>
    <row r="30" spans="1:11" s="1" customFormat="1" x14ac:dyDescent="0.3">
      <c r="A30" s="401">
        <v>5.7552667244045834E-2</v>
      </c>
      <c r="B30" s="355">
        <v>7.1999999999999995E-2</v>
      </c>
      <c r="C30" s="270">
        <v>45689</v>
      </c>
      <c r="D30" s="32">
        <v>2335927.3963199998</v>
      </c>
      <c r="E30" s="12">
        <f t="shared" ref="E30:E40" si="6">D30/$D$27</f>
        <v>101562.06070956521</v>
      </c>
      <c r="F30" s="27">
        <f t="shared" ref="F30:F40" si="7">D30*$F$27</f>
        <v>23359.273963199998</v>
      </c>
      <c r="G30" s="13">
        <f t="shared" ref="G30:G40" si="8">D30*$G$27</f>
        <v>70077.821889599989</v>
      </c>
      <c r="H30" s="42">
        <f t="shared" ref="H30:H40" si="9">F30+G30</f>
        <v>93437.09585279999</v>
      </c>
      <c r="I30"/>
      <c r="K30" s="25"/>
    </row>
    <row r="31" spans="1:11" s="1" customFormat="1" x14ac:dyDescent="0.3">
      <c r="A31" s="401">
        <v>7.077946584146054E-2</v>
      </c>
      <c r="B31" s="355">
        <v>7.5600000000000001E-2</v>
      </c>
      <c r="C31" s="270">
        <v>45717</v>
      </c>
      <c r="D31" s="32">
        <v>2452723.7661359999</v>
      </c>
      <c r="E31" s="12">
        <f t="shared" si="6"/>
        <v>106640.16374504348</v>
      </c>
      <c r="F31" s="27">
        <f t="shared" si="7"/>
        <v>24527.237661359999</v>
      </c>
      <c r="G31" s="13">
        <f t="shared" si="8"/>
        <v>73581.71298407999</v>
      </c>
      <c r="H31" s="42">
        <f t="shared" si="9"/>
        <v>98108.950645439996</v>
      </c>
      <c r="I31"/>
      <c r="K31" s="25"/>
    </row>
    <row r="32" spans="1:11" s="1" customFormat="1" x14ac:dyDescent="0.3">
      <c r="A32" s="401">
        <v>5.1502760217617745E-2</v>
      </c>
      <c r="B32" s="355">
        <v>8.9899999999999994E-2</v>
      </c>
      <c r="C32" s="270">
        <v>45748</v>
      </c>
      <c r="D32" s="32">
        <v>2916664.9017939996</v>
      </c>
      <c r="E32" s="12">
        <f t="shared" si="6"/>
        <v>126811.51746930434</v>
      </c>
      <c r="F32" s="27">
        <f t="shared" si="7"/>
        <v>29166.649017939995</v>
      </c>
      <c r="G32" s="13">
        <f t="shared" si="8"/>
        <v>87499.947053819982</v>
      </c>
      <c r="H32" s="42">
        <f t="shared" si="9"/>
        <v>116666.59607175998</v>
      </c>
      <c r="I32"/>
      <c r="K32" s="25"/>
    </row>
    <row r="33" spans="1:12" s="1" customFormat="1" x14ac:dyDescent="0.3">
      <c r="A33" s="401">
        <v>5.5278878465547333E-2</v>
      </c>
      <c r="B33" s="355">
        <v>9.4700000000000006E-2</v>
      </c>
      <c r="C33" s="270">
        <v>45778</v>
      </c>
      <c r="D33" s="32">
        <v>3072393.3948820001</v>
      </c>
      <c r="E33" s="12">
        <f t="shared" si="6"/>
        <v>133582.3215166087</v>
      </c>
      <c r="F33" s="27">
        <f t="shared" si="7"/>
        <v>30723.933948820002</v>
      </c>
      <c r="G33" s="13">
        <f t="shared" si="8"/>
        <v>92171.801846460003</v>
      </c>
      <c r="H33" s="42">
        <f t="shared" si="9"/>
        <v>122895.73579528001</v>
      </c>
      <c r="I33"/>
      <c r="K33" s="25"/>
    </row>
    <row r="34" spans="1:12" s="1" customFormat="1" x14ac:dyDescent="0.3">
      <c r="A34" s="401">
        <v>0.12325496336567866</v>
      </c>
      <c r="B34" s="355">
        <v>9.5399999999999999E-2</v>
      </c>
      <c r="C34" s="270">
        <v>45809</v>
      </c>
      <c r="D34" s="32">
        <v>3095103.8001239998</v>
      </c>
      <c r="E34" s="12">
        <f t="shared" si="6"/>
        <v>134569.73044017391</v>
      </c>
      <c r="F34" s="27">
        <f t="shared" si="7"/>
        <v>30951.038001239998</v>
      </c>
      <c r="G34" s="13">
        <f t="shared" si="8"/>
        <v>92853.114003719995</v>
      </c>
      <c r="H34" s="42">
        <f t="shared" si="9"/>
        <v>123804.15200495999</v>
      </c>
      <c r="I34"/>
      <c r="K34" s="25"/>
    </row>
    <row r="35" spans="1:12" s="1" customFormat="1" x14ac:dyDescent="0.3">
      <c r="A35" s="401">
        <v>9.3642628241295434E-2</v>
      </c>
      <c r="B35" s="355">
        <v>9.5500000000000002E-2</v>
      </c>
      <c r="C35" s="270">
        <v>45839</v>
      </c>
      <c r="D35" s="32">
        <v>3098348.1437300001</v>
      </c>
      <c r="E35" s="12">
        <f t="shared" si="6"/>
        <v>134710.78885782609</v>
      </c>
      <c r="F35" s="27">
        <f t="shared" si="7"/>
        <v>30983.481437300001</v>
      </c>
      <c r="G35" s="13">
        <f t="shared" si="8"/>
        <v>92950.444311900006</v>
      </c>
      <c r="H35" s="42">
        <f t="shared" si="9"/>
        <v>123933.9257492</v>
      </c>
      <c r="I35"/>
      <c r="K35" s="25"/>
    </row>
    <row r="36" spans="1:12" s="1" customFormat="1" x14ac:dyDescent="0.3">
      <c r="A36" s="401">
        <v>9.4573253902644996E-2</v>
      </c>
      <c r="B36" s="355">
        <v>9.9400000000000002E-2</v>
      </c>
      <c r="C36" s="270">
        <v>45870</v>
      </c>
      <c r="D36" s="32">
        <v>3224877.5443639997</v>
      </c>
      <c r="E36" s="12">
        <f t="shared" si="6"/>
        <v>140212.06714626084</v>
      </c>
      <c r="F36" s="27">
        <f t="shared" si="7"/>
        <v>32248.775443639999</v>
      </c>
      <c r="G36" s="13">
        <f t="shared" si="8"/>
        <v>96746.326330919983</v>
      </c>
      <c r="H36" s="42">
        <f t="shared" si="9"/>
        <v>128995.10177455998</v>
      </c>
      <c r="I36"/>
      <c r="K36" s="25"/>
    </row>
    <row r="37" spans="1:12" s="1" customFormat="1" x14ac:dyDescent="0.3">
      <c r="A37" s="401">
        <v>0.10692174548479499</v>
      </c>
      <c r="B37" s="355">
        <v>9.3299999999999994E-2</v>
      </c>
      <c r="C37" s="270">
        <v>45901</v>
      </c>
      <c r="D37" s="32">
        <v>3026972.5843979996</v>
      </c>
      <c r="E37" s="12">
        <f t="shared" si="6"/>
        <v>131607.50366947823</v>
      </c>
      <c r="F37" s="27">
        <f t="shared" si="7"/>
        <v>30269.725843979995</v>
      </c>
      <c r="G37" s="13">
        <f t="shared" si="8"/>
        <v>90809.177531939989</v>
      </c>
      <c r="H37" s="42">
        <f t="shared" si="9"/>
        <v>121078.90337591998</v>
      </c>
      <c r="I37"/>
      <c r="K37" s="25"/>
    </row>
    <row r="38" spans="1:12" s="1" customFormat="1" x14ac:dyDescent="0.3">
      <c r="A38" s="401">
        <v>0.13436450583330464</v>
      </c>
      <c r="B38" s="355">
        <v>9.8500000000000004E-2</v>
      </c>
      <c r="C38" s="270">
        <v>45931</v>
      </c>
      <c r="D38" s="32">
        <v>3195678.4519099998</v>
      </c>
      <c r="E38" s="12">
        <f t="shared" si="6"/>
        <v>138942.54138739131</v>
      </c>
      <c r="F38" s="27">
        <f t="shared" si="7"/>
        <v>31956.784519099998</v>
      </c>
      <c r="G38" s="13">
        <f t="shared" si="8"/>
        <v>95870.353557299997</v>
      </c>
      <c r="H38" s="42">
        <f t="shared" si="9"/>
        <v>127827.13807639999</v>
      </c>
      <c r="I38"/>
      <c r="K38" s="25"/>
    </row>
    <row r="39" spans="1:12" s="1" customFormat="1" x14ac:dyDescent="0.3">
      <c r="A39" s="401">
        <v>0.10256832506359131</v>
      </c>
      <c r="B39" s="355">
        <v>7.5200000000000003E-2</v>
      </c>
      <c r="C39" s="270">
        <v>45962</v>
      </c>
      <c r="D39" s="32">
        <v>2439746.3917120001</v>
      </c>
      <c r="E39" s="12">
        <f t="shared" si="6"/>
        <v>106075.93007443479</v>
      </c>
      <c r="F39" s="27">
        <f t="shared" si="7"/>
        <v>24397.463917120003</v>
      </c>
      <c r="G39" s="13">
        <f t="shared" si="8"/>
        <v>73192.391751360003</v>
      </c>
      <c r="H39" s="42">
        <f t="shared" si="9"/>
        <v>97589.855668480013</v>
      </c>
      <c r="I39"/>
      <c r="K39" s="25"/>
    </row>
    <row r="40" spans="1:12" s="1" customFormat="1" x14ac:dyDescent="0.3">
      <c r="A40" s="401">
        <v>7.0779856198018132E-2</v>
      </c>
      <c r="B40" s="355">
        <v>4.2099999999999999E-2</v>
      </c>
      <c r="C40" s="270">
        <v>45992</v>
      </c>
      <c r="D40" s="32">
        <v>1365868.6581259998</v>
      </c>
      <c r="E40" s="12">
        <f t="shared" si="6"/>
        <v>59385.593831565209</v>
      </c>
      <c r="F40" s="27">
        <f t="shared" si="7"/>
        <v>13658.686581259999</v>
      </c>
      <c r="G40" s="13">
        <f t="shared" si="8"/>
        <v>40976.059743779995</v>
      </c>
      <c r="H40" s="42">
        <f t="shared" si="9"/>
        <v>54634.746325039996</v>
      </c>
      <c r="I40"/>
      <c r="K40" s="25"/>
      <c r="L40" s="388"/>
    </row>
    <row r="41" spans="1:12" s="1" customFormat="1" x14ac:dyDescent="0.3">
      <c r="B41" s="355">
        <f>SUM(B29:B40)</f>
        <v>1</v>
      </c>
      <c r="C41" s="7"/>
      <c r="D41" s="33"/>
      <c r="E41" s="21"/>
      <c r="F41" s="28"/>
      <c r="G41" s="296"/>
      <c r="H41" s="43"/>
      <c r="I41"/>
      <c r="J41" s="356">
        <v>0.15</v>
      </c>
      <c r="K41" s="25"/>
    </row>
    <row r="42" spans="1:12" x14ac:dyDescent="0.3">
      <c r="C42" s="19"/>
      <c r="D42" s="232">
        <f t="shared" ref="D42:E42" si="10">SUM(D29:D41)</f>
        <v>32443436.059999999</v>
      </c>
      <c r="E42" s="24">
        <f t="shared" si="10"/>
        <v>1410584.176521739</v>
      </c>
      <c r="F42" s="27"/>
      <c r="G42" s="295">
        <f>SUM(G29:G41)</f>
        <v>973303.08179999993</v>
      </c>
      <c r="H42" s="275">
        <f>SUM(H29:H41)</f>
        <v>1297737.4424000001</v>
      </c>
      <c r="J42" s="388">
        <f>D42*J41</f>
        <v>4866515.409</v>
      </c>
      <c r="K42" s="3"/>
    </row>
    <row r="43" spans="1:12" x14ac:dyDescent="0.3">
      <c r="C43" s="19" t="s">
        <v>1</v>
      </c>
      <c r="D43" s="4">
        <f t="shared" ref="D43:H43" si="11">D42/12</f>
        <v>2703619.6716666664</v>
      </c>
      <c r="E43" s="12">
        <f t="shared" si="11"/>
        <v>117548.68137681158</v>
      </c>
      <c r="F43" s="27"/>
      <c r="G43" s="295">
        <f>G42/12</f>
        <v>81108.590149999989</v>
      </c>
      <c r="H43" s="274">
        <f t="shared" si="11"/>
        <v>108144.78686666668</v>
      </c>
    </row>
    <row r="44" spans="1:12" x14ac:dyDescent="0.3">
      <c r="H44" s="46"/>
    </row>
    <row r="45" spans="1:12" ht="24" customHeight="1" x14ac:dyDescent="0.4">
      <c r="D45" s="437" t="s">
        <v>4</v>
      </c>
      <c r="E45" s="437"/>
      <c r="F45" s="437"/>
      <c r="G45" s="437"/>
      <c r="H45" s="437"/>
    </row>
    <row r="46" spans="1:12" x14ac:dyDescent="0.3">
      <c r="D46" s="231">
        <f>D62</f>
        <v>64999999.999999985</v>
      </c>
      <c r="E46" s="17"/>
      <c r="F46" s="17" t="s">
        <v>37</v>
      </c>
      <c r="G46" s="17" t="s">
        <v>38</v>
      </c>
      <c r="H46" s="18" t="s">
        <v>73</v>
      </c>
    </row>
    <row r="47" spans="1:12" x14ac:dyDescent="0.3">
      <c r="C47" s="1"/>
      <c r="D47" s="45">
        <f>D46/E62</f>
        <v>29.220072107884548</v>
      </c>
      <c r="E47" s="37"/>
      <c r="F47" s="36">
        <f>F62/D62</f>
        <v>5.9930382843076929E-3</v>
      </c>
      <c r="G47" s="37">
        <f>G62/D62</f>
        <v>2.2486946783076927E-2</v>
      </c>
      <c r="H47" s="44">
        <f>H62/D62</f>
        <v>2.8479985067384615E-2</v>
      </c>
    </row>
    <row r="48" spans="1:12" x14ac:dyDescent="0.3">
      <c r="C48" s="35">
        <v>1</v>
      </c>
      <c r="D48" s="390" t="s">
        <v>2</v>
      </c>
      <c r="E48" s="391" t="s">
        <v>0</v>
      </c>
      <c r="F48" s="390"/>
      <c r="G48" s="391"/>
      <c r="H48" s="392" t="s">
        <v>3</v>
      </c>
    </row>
    <row r="49" spans="2:11" x14ac:dyDescent="0.3">
      <c r="B49" s="297">
        <f>D49/$D$62</f>
        <v>6.9365752766688618E-2</v>
      </c>
      <c r="C49" s="271">
        <v>45658</v>
      </c>
      <c r="D49" s="31">
        <f>D9+D29</f>
        <v>4508773.9298347589</v>
      </c>
      <c r="E49" s="20">
        <f>E9+E29</f>
        <v>153725.03025735595</v>
      </c>
      <c r="F49" s="26">
        <f>F9+F29</f>
        <v>26770.596071701522</v>
      </c>
      <c r="G49" s="40">
        <f>G9+G29</f>
        <v>100918.57434508139</v>
      </c>
      <c r="H49" s="41">
        <f>F49+G49</f>
        <v>127689.17041678292</v>
      </c>
    </row>
    <row r="50" spans="2:11" x14ac:dyDescent="0.3">
      <c r="B50" s="297">
        <f t="shared" ref="B50:B60" si="12">D50/$D$62</f>
        <v>7.9093456861764666E-2</v>
      </c>
      <c r="C50" s="272">
        <v>45689</v>
      </c>
      <c r="D50" s="32">
        <f t="shared" ref="D50:G60" si="13">D10+D30</f>
        <v>5141074.6960147023</v>
      </c>
      <c r="E50" s="12">
        <f t="shared" si="13"/>
        <v>171690.74320193275</v>
      </c>
      <c r="F50" s="27">
        <f t="shared" si="13"/>
        <v>28969.568562589404</v>
      </c>
      <c r="G50" s="13">
        <f t="shared" si="13"/>
        <v>112155.03138502053</v>
      </c>
      <c r="H50" s="42">
        <f t="shared" ref="H50:H60" si="14">F50+G50</f>
        <v>141124.59994760994</v>
      </c>
    </row>
    <row r="51" spans="2:11" x14ac:dyDescent="0.3">
      <c r="B51" s="297">
        <f t="shared" si="12"/>
        <v>7.794157957291567E-2</v>
      </c>
      <c r="C51" s="272">
        <v>45717</v>
      </c>
      <c r="D51" s="32">
        <f t="shared" si="13"/>
        <v>5066202.6722395178</v>
      </c>
      <c r="E51" s="12">
        <f t="shared" si="13"/>
        <v>171977.13639763143</v>
      </c>
      <c r="F51" s="27">
        <f t="shared" si="13"/>
        <v>29754.195473567033</v>
      </c>
      <c r="G51" s="13">
        <f t="shared" si="13"/>
        <v>112783.89657563275</v>
      </c>
      <c r="H51" s="42">
        <f t="shared" si="14"/>
        <v>142538.0920491998</v>
      </c>
    </row>
    <row r="52" spans="2:11" x14ac:dyDescent="0.3">
      <c r="B52" s="297">
        <f t="shared" si="12"/>
        <v>8.3167220935985137E-2</v>
      </c>
      <c r="C52" s="272">
        <v>45748</v>
      </c>
      <c r="D52" s="32">
        <f t="shared" si="13"/>
        <v>5405869.3608390326</v>
      </c>
      <c r="E52" s="12">
        <f t="shared" si="13"/>
        <v>189041.62894543016</v>
      </c>
      <c r="F52" s="27">
        <f t="shared" si="13"/>
        <v>34145.057936030062</v>
      </c>
      <c r="G52" s="13">
        <f t="shared" si="13"/>
        <v>124838.01393949547</v>
      </c>
      <c r="H52" s="42">
        <f t="shared" si="14"/>
        <v>158983.07187552552</v>
      </c>
    </row>
    <row r="53" spans="2:11" x14ac:dyDescent="0.3">
      <c r="B53" s="297">
        <f t="shared" si="12"/>
        <v>8.2306276028873415E-2</v>
      </c>
      <c r="C53" s="272">
        <v>45778</v>
      </c>
      <c r="D53" s="32">
        <f t="shared" si="13"/>
        <v>5349907.9418767709</v>
      </c>
      <c r="E53" s="12">
        <f t="shared" si="13"/>
        <v>190520.18519147797</v>
      </c>
      <c r="F53" s="27">
        <f t="shared" si="13"/>
        <v>35278.963042809541</v>
      </c>
      <c r="G53" s="13">
        <f t="shared" si="13"/>
        <v>126334.52005138157</v>
      </c>
      <c r="H53" s="42">
        <f t="shared" si="14"/>
        <v>161613.48309419112</v>
      </c>
    </row>
    <row r="54" spans="2:11" x14ac:dyDescent="0.3">
      <c r="B54" s="297">
        <f t="shared" si="12"/>
        <v>8.4407601145669392E-2</v>
      </c>
      <c r="C54" s="272">
        <v>45809</v>
      </c>
      <c r="D54" s="32">
        <f t="shared" si="13"/>
        <v>5486494.0744685093</v>
      </c>
      <c r="E54" s="12">
        <f t="shared" si="13"/>
        <v>194354.48729878664</v>
      </c>
      <c r="F54" s="27">
        <f t="shared" si="13"/>
        <v>35733.818549929019</v>
      </c>
      <c r="G54" s="13">
        <f t="shared" si="13"/>
        <v>128723.96811888763</v>
      </c>
      <c r="H54" s="42">
        <f t="shared" si="14"/>
        <v>164457.78666881664</v>
      </c>
    </row>
    <row r="55" spans="2:11" x14ac:dyDescent="0.3">
      <c r="B55" s="297">
        <f t="shared" si="12"/>
        <v>9.2817955728186699E-2</v>
      </c>
      <c r="C55" s="272">
        <v>45839</v>
      </c>
      <c r="D55" s="32">
        <f t="shared" si="13"/>
        <v>6033167.1223321343</v>
      </c>
      <c r="E55" s="12">
        <f t="shared" si="13"/>
        <v>208081.26332287944</v>
      </c>
      <c r="F55" s="27">
        <f t="shared" si="13"/>
        <v>36853.119394504269</v>
      </c>
      <c r="G55" s="13">
        <f t="shared" si="13"/>
        <v>136972.72899093202</v>
      </c>
      <c r="H55" s="42">
        <f t="shared" si="14"/>
        <v>173825.84838543629</v>
      </c>
    </row>
    <row r="56" spans="2:11" x14ac:dyDescent="0.3">
      <c r="B56" s="297">
        <f t="shared" si="12"/>
        <v>9.5816186559913336E-2</v>
      </c>
      <c r="C56" s="272">
        <v>45870</v>
      </c>
      <c r="D56" s="32">
        <f t="shared" si="13"/>
        <v>6228052.126394365</v>
      </c>
      <c r="E56" s="12">
        <f t="shared" si="13"/>
        <v>215291.43169701996</v>
      </c>
      <c r="F56" s="27">
        <f t="shared" si="13"/>
        <v>38255.124607700731</v>
      </c>
      <c r="G56" s="13">
        <f t="shared" si="13"/>
        <v>141793.94506137545</v>
      </c>
      <c r="H56" s="42">
        <f t="shared" si="14"/>
        <v>180049.06966907618</v>
      </c>
    </row>
    <row r="57" spans="2:11" x14ac:dyDescent="0.3">
      <c r="B57" s="297">
        <f t="shared" si="12"/>
        <v>0.10329289858278198</v>
      </c>
      <c r="C57" s="272">
        <v>45901</v>
      </c>
      <c r="D57" s="32">
        <f t="shared" si="13"/>
        <v>6714038.4078808278</v>
      </c>
      <c r="E57" s="12">
        <f t="shared" si="13"/>
        <v>223784.14925654893</v>
      </c>
      <c r="F57" s="27">
        <f t="shared" si="13"/>
        <v>37643.857490945651</v>
      </c>
      <c r="G57" s="13">
        <f t="shared" si="13"/>
        <v>146115.16488418239</v>
      </c>
      <c r="H57" s="42">
        <f t="shared" si="14"/>
        <v>183759.02237512806</v>
      </c>
      <c r="J57" s="388">
        <f>J22+J42</f>
        <v>11377828.197000001</v>
      </c>
    </row>
    <row r="58" spans="2:11" x14ac:dyDescent="0.3">
      <c r="B58" s="297">
        <f t="shared" si="12"/>
        <v>0.10909053981552003</v>
      </c>
      <c r="C58" s="272">
        <v>45931</v>
      </c>
      <c r="D58" s="32">
        <f t="shared" si="13"/>
        <v>7090885.0880088005</v>
      </c>
      <c r="E58" s="12">
        <f t="shared" si="13"/>
        <v>236322.70728986134</v>
      </c>
      <c r="F58" s="27">
        <f t="shared" si="13"/>
        <v>39747.1977912976</v>
      </c>
      <c r="G58" s="13">
        <f t="shared" si="13"/>
        <v>154298.45309878202</v>
      </c>
      <c r="H58" s="42">
        <f t="shared" si="14"/>
        <v>194045.65089007962</v>
      </c>
    </row>
    <row r="59" spans="2:11" x14ac:dyDescent="0.3">
      <c r="B59" s="297">
        <f t="shared" si="12"/>
        <v>8.327979341446283E-2</v>
      </c>
      <c r="C59" s="272">
        <v>45962</v>
      </c>
      <c r="D59" s="32">
        <f t="shared" si="13"/>
        <v>5413186.5719400831</v>
      </c>
      <c r="E59" s="12">
        <f t="shared" si="13"/>
        <v>180411.93458013685</v>
      </c>
      <c r="F59" s="27">
        <f t="shared" si="13"/>
        <v>30344.344277576169</v>
      </c>
      <c r="G59" s="13">
        <f t="shared" si="13"/>
        <v>117793.99445478125</v>
      </c>
      <c r="H59" s="42">
        <f t="shared" si="14"/>
        <v>148138.33873235743</v>
      </c>
    </row>
    <row r="60" spans="2:11" x14ac:dyDescent="0.3">
      <c r="B60" s="297">
        <f t="shared" si="12"/>
        <v>3.9420738587238283E-2</v>
      </c>
      <c r="C60" s="272">
        <v>45992</v>
      </c>
      <c r="D60" s="32">
        <f t="shared" si="13"/>
        <v>2562348.0081704878</v>
      </c>
      <c r="E60" s="12">
        <f t="shared" si="13"/>
        <v>89297.577582677404</v>
      </c>
      <c r="F60" s="27">
        <f t="shared" si="13"/>
        <v>16051.645281348974</v>
      </c>
      <c r="G60" s="13">
        <f t="shared" si="13"/>
        <v>58923.249994447309</v>
      </c>
      <c r="H60" s="42">
        <f t="shared" si="14"/>
        <v>74974.895275796283</v>
      </c>
    </row>
    <row r="61" spans="2:11" x14ac:dyDescent="0.3">
      <c r="B61" s="402">
        <f>SUM(B49:B60)</f>
        <v>1.0000000000000002</v>
      </c>
      <c r="C61" s="7"/>
      <c r="D61" s="33"/>
      <c r="E61" s="21"/>
      <c r="F61" s="28"/>
      <c r="G61" s="296"/>
      <c r="H61" s="43"/>
    </row>
    <row r="62" spans="2:11" x14ac:dyDescent="0.3">
      <c r="C62" s="19"/>
      <c r="D62" s="232">
        <f t="shared" ref="D62:H62" si="15">SUM(D49:D61)</f>
        <v>64999999.999999985</v>
      </c>
      <c r="E62" s="24">
        <f t="shared" si="15"/>
        <v>2224498.2750217384</v>
      </c>
      <c r="F62" s="27">
        <f>SUM(F49:F60)</f>
        <v>389547.48847999994</v>
      </c>
      <c r="G62" s="295">
        <f>SUM(G49:G60)</f>
        <v>1461651.5408999999</v>
      </c>
      <c r="H62" s="275">
        <f t="shared" si="15"/>
        <v>1851199.0293799995</v>
      </c>
      <c r="J62" s="356">
        <f>J57/D62</f>
        <v>0.17504351072307697</v>
      </c>
      <c r="K62" s="3">
        <f>D62*10%</f>
        <v>6499999.9999999991</v>
      </c>
    </row>
    <row r="63" spans="2:11" x14ac:dyDescent="0.3">
      <c r="C63" s="19" t="s">
        <v>1</v>
      </c>
      <c r="D63" s="4">
        <f>D62/12</f>
        <v>5416666.6666666651</v>
      </c>
      <c r="E63" s="12">
        <f t="shared" ref="E63:H63" si="16">E62/12</f>
        <v>185374.85625181152</v>
      </c>
      <c r="F63" s="27">
        <v>132493.77499682771</v>
      </c>
      <c r="G63" s="6"/>
      <c r="H63" s="274">
        <f t="shared" si="16"/>
        <v>154266.58578166662</v>
      </c>
    </row>
    <row r="64" spans="2:11" x14ac:dyDescent="0.3">
      <c r="D64" s="2">
        <f>D62*10%</f>
        <v>6499999.9999999991</v>
      </c>
      <c r="F64" s="2">
        <f>E49-F63</f>
        <v>21231.25526052824</v>
      </c>
    </row>
    <row r="65" spans="3:10" x14ac:dyDescent="0.3">
      <c r="E65" s="66">
        <v>0.01</v>
      </c>
    </row>
    <row r="66" spans="3:10" x14ac:dyDescent="0.3">
      <c r="C66" s="49"/>
      <c r="D66" s="3"/>
      <c r="E66" s="2"/>
      <c r="G66" s="25"/>
    </row>
    <row r="67" spans="3:10" x14ac:dyDescent="0.3">
      <c r="C67" s="25"/>
      <c r="D67" s="389">
        <v>2026</v>
      </c>
      <c r="E67" s="389">
        <v>2027</v>
      </c>
      <c r="F67" s="420" t="s">
        <v>76</v>
      </c>
      <c r="G67" s="401" t="s">
        <v>77</v>
      </c>
    </row>
    <row r="68" spans="3:10" x14ac:dyDescent="0.3">
      <c r="C68" s="271">
        <v>45658</v>
      </c>
      <c r="D68" s="404">
        <v>2836088.39</v>
      </c>
      <c r="E68" s="405" cm="1">
        <f t="array" ref="E68:E79">D49:D60</f>
        <v>4508773.9298347589</v>
      </c>
      <c r="F68" s="406">
        <f>E68/D68-1</f>
        <v>0.58978611023994176</v>
      </c>
      <c r="G68" s="407">
        <f>E68/$E$80</f>
        <v>6.9365752766688618E-2</v>
      </c>
      <c r="H68" s="2"/>
    </row>
    <row r="69" spans="3:10" x14ac:dyDescent="0.3">
      <c r="C69" s="272">
        <v>45689</v>
      </c>
      <c r="D69" s="404">
        <v>4165984.4799999995</v>
      </c>
      <c r="E69" s="405">
        <v>5141074.6960147023</v>
      </c>
      <c r="F69" s="406">
        <f t="shared" ref="F69:F80" si="17">E69/D69-1</f>
        <v>0.23405997326583972</v>
      </c>
      <c r="G69" s="407">
        <f t="shared" ref="G69:G80" si="18">E69/$E$80</f>
        <v>7.9093456861764666E-2</v>
      </c>
      <c r="H69" s="2"/>
    </row>
    <row r="70" spans="3:10" x14ac:dyDescent="0.3">
      <c r="C70" s="272">
        <v>45717</v>
      </c>
      <c r="D70" s="404">
        <v>4119371.0650000004</v>
      </c>
      <c r="E70" s="405">
        <v>5066202.6722395178</v>
      </c>
      <c r="F70" s="406">
        <f t="shared" si="17"/>
        <v>0.2298485842375837</v>
      </c>
      <c r="G70" s="407">
        <f t="shared" si="18"/>
        <v>7.794157957291567E-2</v>
      </c>
      <c r="H70" s="2">
        <f>SUM(E68:E70)</f>
        <v>14716051.298088979</v>
      </c>
      <c r="J70" s="388">
        <f>H70*10%</f>
        <v>1471605.1298088981</v>
      </c>
    </row>
    <row r="71" spans="3:10" x14ac:dyDescent="0.3">
      <c r="C71" s="272">
        <v>45748</v>
      </c>
      <c r="D71" s="408">
        <v>3215058.8200000003</v>
      </c>
      <c r="E71" s="409">
        <v>5405869.3608390326</v>
      </c>
      <c r="F71" s="410">
        <f t="shared" si="17"/>
        <v>0.68142160485854886</v>
      </c>
      <c r="G71" s="411">
        <f t="shared" si="18"/>
        <v>8.3167220935985137E-2</v>
      </c>
      <c r="H71" s="2"/>
    </row>
    <row r="72" spans="3:10" x14ac:dyDescent="0.3">
      <c r="C72" s="272">
        <v>45778</v>
      </c>
      <c r="D72" s="408">
        <v>3156955.9699999997</v>
      </c>
      <c r="E72" s="409">
        <v>5349907.9418767709</v>
      </c>
      <c r="F72" s="410">
        <f t="shared" si="17"/>
        <v>0.69464129139462516</v>
      </c>
      <c r="G72" s="411">
        <f t="shared" si="18"/>
        <v>8.2306276028873415E-2</v>
      </c>
      <c r="H72" s="2"/>
    </row>
    <row r="73" spans="3:10" x14ac:dyDescent="0.3">
      <c r="C73" s="272">
        <v>45809</v>
      </c>
      <c r="D73" s="408">
        <v>5191505.28</v>
      </c>
      <c r="E73" s="409">
        <v>5486494.0744685093</v>
      </c>
      <c r="F73" s="410">
        <f t="shared" si="17"/>
        <v>5.6821437821692689E-2</v>
      </c>
      <c r="G73" s="411">
        <f t="shared" si="18"/>
        <v>8.4407601145669392E-2</v>
      </c>
      <c r="H73" s="2">
        <f>SUM(E71:E73)</f>
        <v>16242271.377184313</v>
      </c>
      <c r="J73" s="388">
        <f>H73*10%</f>
        <v>1624227.1377184314</v>
      </c>
    </row>
    <row r="74" spans="3:10" x14ac:dyDescent="0.3">
      <c r="C74" s="272">
        <v>45839</v>
      </c>
      <c r="D74" s="412">
        <v>4888185.6500000004</v>
      </c>
      <c r="E74" s="413">
        <v>6033167.1223321343</v>
      </c>
      <c r="F74" s="414">
        <f t="shared" si="17"/>
        <v>0.23423444899891099</v>
      </c>
      <c r="G74" s="415">
        <f t="shared" si="18"/>
        <v>9.2817955728186699E-2</v>
      </c>
      <c r="H74" s="2"/>
    </row>
    <row r="75" spans="3:10" x14ac:dyDescent="0.3">
      <c r="C75" s="272">
        <v>45870</v>
      </c>
      <c r="D75" s="412">
        <v>4159499.7678326601</v>
      </c>
      <c r="E75" s="413">
        <v>6228052.126394365</v>
      </c>
      <c r="F75" s="414">
        <f t="shared" si="17"/>
        <v>0.49730796346204387</v>
      </c>
      <c r="G75" s="415">
        <f t="shared" si="18"/>
        <v>9.5816186559913336E-2</v>
      </c>
      <c r="H75" s="2"/>
    </row>
    <row r="76" spans="3:10" x14ac:dyDescent="0.3">
      <c r="C76" s="272">
        <v>45901</v>
      </c>
      <c r="D76" s="412">
        <v>5106712.5862499997</v>
      </c>
      <c r="E76" s="413">
        <v>6714038.4078808278</v>
      </c>
      <c r="F76" s="414">
        <f t="shared" si="17"/>
        <v>0.31474765702667673</v>
      </c>
      <c r="G76" s="415">
        <f t="shared" si="18"/>
        <v>0.10329289858278198</v>
      </c>
      <c r="H76" s="2">
        <f>SUM(E74:E76)</f>
        <v>18975257.656607326</v>
      </c>
      <c r="J76" s="388">
        <f>H76*10%</f>
        <v>1897525.7656607328</v>
      </c>
    </row>
    <row r="77" spans="3:10" x14ac:dyDescent="0.3">
      <c r="C77" s="272">
        <v>45931</v>
      </c>
      <c r="D77" s="416">
        <v>5394994.7483770195</v>
      </c>
      <c r="E77" s="417">
        <v>7090885.0880088005</v>
      </c>
      <c r="F77" s="418">
        <f t="shared" si="17"/>
        <v>0.31434513261425456</v>
      </c>
      <c r="G77" s="419">
        <f t="shared" si="18"/>
        <v>0.10909053981552003</v>
      </c>
      <c r="H77" s="2"/>
    </row>
    <row r="78" spans="3:10" x14ac:dyDescent="0.3">
      <c r="C78" s="272">
        <v>45962</v>
      </c>
      <c r="D78" s="416">
        <v>4118316.6018145103</v>
      </c>
      <c r="E78" s="417">
        <v>5413186.5719400831</v>
      </c>
      <c r="F78" s="418">
        <f t="shared" si="17"/>
        <v>0.3144172960269882</v>
      </c>
      <c r="G78" s="419">
        <f t="shared" si="18"/>
        <v>8.327979341446283E-2</v>
      </c>
      <c r="H78" s="2"/>
    </row>
    <row r="79" spans="3:10" x14ac:dyDescent="0.3">
      <c r="C79" s="272">
        <v>45992</v>
      </c>
      <c r="D79" s="416">
        <v>1647326.640725804</v>
      </c>
      <c r="E79" s="417">
        <v>2562348.0081704878</v>
      </c>
      <c r="F79" s="418">
        <f t="shared" si="17"/>
        <v>0.55545836801469428</v>
      </c>
      <c r="G79" s="419">
        <f t="shared" si="18"/>
        <v>3.9420738587238283E-2</v>
      </c>
      <c r="H79" s="2">
        <f>SUM(E77:E79)</f>
        <v>15066419.668119371</v>
      </c>
      <c r="J79" s="388">
        <f>H79*10%</f>
        <v>1506641.9668119373</v>
      </c>
    </row>
    <row r="80" spans="3:10" x14ac:dyDescent="0.3">
      <c r="D80" s="2">
        <f>SUM(D68:D79)</f>
        <v>47999999.999999993</v>
      </c>
      <c r="E80" s="2">
        <f>SUM(E68:E79)</f>
        <v>64999999.999999985</v>
      </c>
      <c r="F80" s="356">
        <f t="shared" si="17"/>
        <v>0.35416666666666652</v>
      </c>
      <c r="G80" s="403">
        <f t="shared" si="18"/>
        <v>1</v>
      </c>
      <c r="H80" s="2"/>
      <c r="J80" s="388">
        <f>J70+J73+J76+J79</f>
        <v>6500000</v>
      </c>
    </row>
  </sheetData>
  <mergeCells count="3">
    <mergeCell ref="D25:H25"/>
    <mergeCell ref="D45:H45"/>
    <mergeCell ref="D5:H5"/>
  </mergeCells>
  <conditionalFormatting sqref="D9:D20">
    <cfRule type="top10" dxfId="43" priority="8" rank="1"/>
    <cfRule type="top10" dxfId="42" priority="17" rank="3"/>
    <cfRule type="top10" dxfId="41" priority="47" rank="3"/>
  </conditionalFormatting>
  <conditionalFormatting sqref="D9:D21 H9:H21">
    <cfRule type="cellIs" dxfId="40" priority="33" operator="greaterThan">
      <formula>$D$6</formula>
    </cfRule>
  </conditionalFormatting>
  <conditionalFormatting sqref="D29:D40">
    <cfRule type="top10" dxfId="39" priority="10" rank="1"/>
    <cfRule type="top10" dxfId="38" priority="13" rank="3"/>
  </conditionalFormatting>
  <conditionalFormatting sqref="D29:D41">
    <cfRule type="cellIs" dxfId="37" priority="28" operator="greaterThan">
      <formula>$D$26</formula>
    </cfRule>
  </conditionalFormatting>
  <conditionalFormatting sqref="D49:D60">
    <cfRule type="top10" dxfId="36" priority="11" rank="1"/>
    <cfRule type="top10" dxfId="35" priority="12" rank="3"/>
  </conditionalFormatting>
  <conditionalFormatting sqref="H29:H41">
    <cfRule type="cellIs" dxfId="33" priority="29" operator="greaterThan">
      <formula>$D$26</formula>
    </cfRule>
  </conditionalFormatting>
  <conditionalFormatting sqref="H49:H61 D61">
    <cfRule type="cellIs" dxfId="32" priority="48" operator="greaterThan">
      <formula>#REF!</formula>
    </cfRule>
  </conditionalFormatting>
  <pageMargins left="0" right="0" top="0.25" bottom="0.25" header="0.3" footer="0.3"/>
  <pageSetup paperSize="9" scale="49" orientation="portrait" horizontalDpi="0" verticalDpi="0"/>
  <ignoredErrors>
    <ignoredError sqref="D80" formulaRange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861DB405-B76E-3046-A604-F814CC19C8AA}">
            <xm:f>NOT(ISERROR(SEARCH("-",F29)))</xm:f>
            <xm:f>"-"</xm:f>
            <x14:dxf>
              <font>
                <b/>
                <i val="0"/>
                <color rgb="FFFF0000"/>
              </font>
            </x14:dxf>
          </x14:cfRule>
          <xm:sqref>F29:G40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92843-0EA9-4243-AD7C-06BADDC8FACD}">
  <sheetPr>
    <tabColor rgb="FF0070C0"/>
    <pageSetUpPr fitToPage="1"/>
  </sheetPr>
  <dimension ref="B3:P83"/>
  <sheetViews>
    <sheetView topLeftCell="A47" zoomScale="70" zoomScaleNormal="70" workbookViewId="0">
      <selection activeCell="D70" sqref="D70"/>
    </sheetView>
  </sheetViews>
  <sheetFormatPr defaultColWidth="11.19921875" defaultRowHeight="15.6" x14ac:dyDescent="0.3"/>
  <cols>
    <col min="1" max="1" width="3.19921875" customWidth="1"/>
    <col min="3" max="3" width="16.796875" customWidth="1"/>
    <col min="4" max="4" width="14.19921875" customWidth="1"/>
    <col min="5" max="5" width="17.5" customWidth="1"/>
    <col min="6" max="6" width="13.796875" customWidth="1"/>
    <col min="7" max="10" width="17.296875" customWidth="1"/>
    <col min="11" max="11" width="1.5" customWidth="1"/>
    <col min="12" max="12" width="9.796875" customWidth="1"/>
    <col min="13" max="13" width="18.19921875" customWidth="1"/>
    <col min="14" max="14" width="16.296875" customWidth="1"/>
  </cols>
  <sheetData>
    <row r="3" spans="2:14" ht="21" x14ac:dyDescent="0.4">
      <c r="C3" s="441" t="s">
        <v>27</v>
      </c>
      <c r="D3" s="442"/>
      <c r="E3" s="442"/>
      <c r="F3" s="442"/>
      <c r="G3" s="442"/>
      <c r="H3" s="442"/>
      <c r="I3" s="442"/>
      <c r="J3" s="443"/>
      <c r="K3" s="321"/>
    </row>
    <row r="4" spans="2:14" x14ac:dyDescent="0.3">
      <c r="C4" s="52">
        <f>'CONSOLIDADO-RESUMIDO'!D6</f>
        <v>32556563.939999998</v>
      </c>
      <c r="D4" s="53"/>
      <c r="E4" s="53">
        <v>12</v>
      </c>
      <c r="F4" s="53"/>
      <c r="G4" s="53"/>
      <c r="H4" s="53"/>
      <c r="I4" s="53"/>
      <c r="J4" s="54">
        <f>E5+G5+I5</f>
        <v>1</v>
      </c>
      <c r="K4" s="119"/>
    </row>
    <row r="5" spans="2:14" x14ac:dyDescent="0.3">
      <c r="C5" s="318">
        <v>41.45</v>
      </c>
      <c r="D5" s="319"/>
      <c r="E5" s="423">
        <v>0.14000000000000001</v>
      </c>
      <c r="F5" s="423"/>
      <c r="G5" s="424">
        <v>0.81</v>
      </c>
      <c r="H5" s="424"/>
      <c r="I5" s="432">
        <v>0.05</v>
      </c>
      <c r="J5" s="444"/>
      <c r="K5" s="220"/>
    </row>
    <row r="6" spans="2:14" s="14" customFormat="1" x14ac:dyDescent="0.3">
      <c r="B6" s="63"/>
      <c r="C6" s="77" t="s">
        <v>2</v>
      </c>
      <c r="D6" s="78" t="s">
        <v>0</v>
      </c>
      <c r="E6" s="425" t="s">
        <v>6</v>
      </c>
      <c r="F6" s="425"/>
      <c r="G6" s="425" t="s">
        <v>7</v>
      </c>
      <c r="H6" s="425"/>
      <c r="I6" s="425" t="s">
        <v>8</v>
      </c>
      <c r="J6" s="440"/>
      <c r="K6" s="220"/>
      <c r="L6" s="381">
        <v>24</v>
      </c>
      <c r="M6" s="86">
        <f>F7+H7+J7</f>
        <v>57246.826611473974</v>
      </c>
    </row>
    <row r="7" spans="2:14" x14ac:dyDescent="0.3">
      <c r="B7" s="29">
        <v>46023</v>
      </c>
      <c r="C7" s="15">
        <f>'CONSOLIDADO-RESUMIDO'!D9</f>
        <v>2289642.9033307591</v>
      </c>
      <c r="D7" s="20">
        <f>'CONSOLIDADO-RESUMIDO'!E9</f>
        <v>57241.072583268979</v>
      </c>
      <c r="E7" s="59">
        <f>C7*$E$5</f>
        <v>320550.00646630634</v>
      </c>
      <c r="F7" s="60">
        <f>E7/$C$5</f>
        <v>7733.4139075104058</v>
      </c>
      <c r="G7" s="55">
        <f>C7*$G$5</f>
        <v>1854610.7516979151</v>
      </c>
      <c r="H7" s="56">
        <f>G7/$C$5</f>
        <v>44743.323322024487</v>
      </c>
      <c r="I7" s="58">
        <f>C7*$I$5</f>
        <v>114482.14516653796</v>
      </c>
      <c r="J7" s="382">
        <f>I7/$L$6</f>
        <v>4770.0893819390812</v>
      </c>
      <c r="K7" s="6"/>
      <c r="L7" s="50"/>
      <c r="M7" s="50"/>
    </row>
    <row r="8" spans="2:14" x14ac:dyDescent="0.3">
      <c r="B8" s="30">
        <v>46054</v>
      </c>
      <c r="C8" s="4">
        <f>'CONSOLIDADO-RESUMIDO'!D10</f>
        <v>2805147.299694702</v>
      </c>
      <c r="D8" s="12">
        <f>'CONSOLIDADO-RESUMIDO'!E10</f>
        <v>70128.682492367545</v>
      </c>
      <c r="E8" s="61">
        <f t="shared" ref="E8:E18" si="0">C8*$E$5</f>
        <v>392720.62195725832</v>
      </c>
      <c r="F8" s="62">
        <f t="shared" ref="F8:F18" si="1">E8/$C$5</f>
        <v>9474.5626527685963</v>
      </c>
      <c r="G8" s="79">
        <f t="shared" ref="G8:G18" si="2">C8*$G$5</f>
        <v>2272169.3127527088</v>
      </c>
      <c r="H8" s="57">
        <f t="shared" ref="H8:H18" si="3">G8/$C$5</f>
        <v>54817.112491018299</v>
      </c>
      <c r="I8" s="80">
        <f t="shared" ref="I8:I18" si="4">C8*$I$5</f>
        <v>140257.36498473512</v>
      </c>
      <c r="J8" s="383">
        <f t="shared" ref="J8:J18" si="5">I8/$L$6</f>
        <v>5844.0568743639633</v>
      </c>
      <c r="K8" s="6"/>
      <c r="L8" s="325" t="s">
        <v>46</v>
      </c>
      <c r="M8" s="323" cm="1">
        <f t="array" ref="M8">SUM(F7:F9+H7:H9+J7:J9)</f>
        <v>192726.09913229846</v>
      </c>
      <c r="N8" s="324">
        <f>SUM(C7:C9)</f>
        <v>7708269.1091289781</v>
      </c>
    </row>
    <row r="9" spans="2:14" x14ac:dyDescent="0.3">
      <c r="B9" s="30">
        <v>46082</v>
      </c>
      <c r="C9" s="4">
        <f>'CONSOLIDADO-RESUMIDO'!D11</f>
        <v>2613478.9061035174</v>
      </c>
      <c r="D9" s="12">
        <f>'CONSOLIDADO-RESUMIDO'!E11</f>
        <v>65336.972652587938</v>
      </c>
      <c r="E9" s="61">
        <f t="shared" si="0"/>
        <v>365887.04685449245</v>
      </c>
      <c r="F9" s="62">
        <f t="shared" si="1"/>
        <v>8827.1905151867904</v>
      </c>
      <c r="G9" s="79">
        <f t="shared" si="2"/>
        <v>2116917.913943849</v>
      </c>
      <c r="H9" s="57">
        <f t="shared" si="3"/>
        <v>51071.602266437847</v>
      </c>
      <c r="I9" s="80">
        <f t="shared" si="4"/>
        <v>130673.94530517588</v>
      </c>
      <c r="J9" s="383">
        <f t="shared" si="5"/>
        <v>5444.7477210489951</v>
      </c>
      <c r="K9" s="6"/>
      <c r="L9" s="47"/>
      <c r="M9" s="48"/>
      <c r="N9" s="14"/>
    </row>
    <row r="10" spans="2:14" x14ac:dyDescent="0.3">
      <c r="B10" s="30">
        <v>46113</v>
      </c>
      <c r="C10" s="4">
        <f>'CONSOLIDADO-RESUMIDO'!D12</f>
        <v>2489204.459045033</v>
      </c>
      <c r="D10" s="12">
        <f>'CONSOLIDADO-RESUMIDO'!E12</f>
        <v>62230.111476125821</v>
      </c>
      <c r="E10" s="61">
        <f t="shared" si="0"/>
        <v>348488.62426630466</v>
      </c>
      <c r="F10" s="62">
        <f t="shared" si="1"/>
        <v>8407.4457000314742</v>
      </c>
      <c r="G10" s="79">
        <f t="shared" si="2"/>
        <v>2016255.6118264769</v>
      </c>
      <c r="H10" s="57">
        <f t="shared" si="3"/>
        <v>48643.078693039242</v>
      </c>
      <c r="I10" s="80">
        <f t="shared" si="4"/>
        <v>124460.22295225166</v>
      </c>
      <c r="J10" s="383">
        <f t="shared" si="5"/>
        <v>5185.842623010486</v>
      </c>
      <c r="K10" s="6"/>
      <c r="L10" s="47"/>
      <c r="M10" s="48"/>
      <c r="N10" s="14"/>
    </row>
    <row r="11" spans="2:14" x14ac:dyDescent="0.3">
      <c r="B11" s="30">
        <v>46143</v>
      </c>
      <c r="C11" s="4">
        <f>'CONSOLIDADO-RESUMIDO'!D13</f>
        <v>2277514.5469947709</v>
      </c>
      <c r="D11" s="12">
        <f>'CONSOLIDADO-RESUMIDO'!E13</f>
        <v>56937.863674869273</v>
      </c>
      <c r="E11" s="61">
        <f t="shared" si="0"/>
        <v>318852.03657926794</v>
      </c>
      <c r="F11" s="62">
        <f t="shared" si="1"/>
        <v>7692.4496159051369</v>
      </c>
      <c r="G11" s="79">
        <f t="shared" si="2"/>
        <v>1844786.7830657645</v>
      </c>
      <c r="H11" s="57">
        <f t="shared" si="3"/>
        <v>44506.31563487972</v>
      </c>
      <c r="I11" s="80">
        <f t="shared" si="4"/>
        <v>113875.72734973855</v>
      </c>
      <c r="J11" s="383">
        <f t="shared" si="5"/>
        <v>4744.8219729057728</v>
      </c>
      <c r="K11" s="6"/>
      <c r="L11" s="325" t="s">
        <v>47</v>
      </c>
      <c r="M11" s="323" cm="1">
        <f t="array" ref="M11">SUM(F10:F12+H10:H12+J10:J12)</f>
        <v>178970.720824647</v>
      </c>
      <c r="N11" s="324">
        <f>SUM(C10:C12)</f>
        <v>7158109.2803843133</v>
      </c>
    </row>
    <row r="12" spans="2:14" x14ac:dyDescent="0.3">
      <c r="B12" s="30">
        <v>46174</v>
      </c>
      <c r="C12" s="4">
        <f>'CONSOLIDADO-RESUMIDO'!D14</f>
        <v>2391390.2743445095</v>
      </c>
      <c r="D12" s="12">
        <f>'CONSOLIDADO-RESUMIDO'!E14</f>
        <v>59784.756858612738</v>
      </c>
      <c r="E12" s="61">
        <f t="shared" si="0"/>
        <v>334794.63840823137</v>
      </c>
      <c r="F12" s="62">
        <f t="shared" si="1"/>
        <v>8077.0720967003945</v>
      </c>
      <c r="G12" s="79">
        <f t="shared" si="2"/>
        <v>1937026.1222190529</v>
      </c>
      <c r="H12" s="57">
        <f t="shared" si="3"/>
        <v>46731.631416623706</v>
      </c>
      <c r="I12" s="80">
        <f t="shared" si="4"/>
        <v>119569.51371722548</v>
      </c>
      <c r="J12" s="383">
        <f t="shared" si="5"/>
        <v>4982.0630715510615</v>
      </c>
      <c r="K12" s="6"/>
      <c r="L12" s="47"/>
      <c r="M12" s="48"/>
      <c r="N12" s="14"/>
    </row>
    <row r="13" spans="2:14" x14ac:dyDescent="0.3">
      <c r="B13" s="30">
        <v>46204</v>
      </c>
      <c r="C13" s="4">
        <f>'CONSOLIDADO-RESUMIDO'!D15</f>
        <v>2934818.9786021342</v>
      </c>
      <c r="D13" s="12">
        <f>'CONSOLIDADO-RESUMIDO'!E15</f>
        <v>73370.474465053354</v>
      </c>
      <c r="E13" s="61">
        <f t="shared" si="0"/>
        <v>410874.65700429882</v>
      </c>
      <c r="F13" s="62">
        <f t="shared" si="1"/>
        <v>9912.536960296713</v>
      </c>
      <c r="G13" s="79">
        <f t="shared" si="2"/>
        <v>2377203.3726677289</v>
      </c>
      <c r="H13" s="57">
        <f t="shared" si="3"/>
        <v>57351.106698859563</v>
      </c>
      <c r="I13" s="80">
        <f t="shared" si="4"/>
        <v>146740.94893010671</v>
      </c>
      <c r="J13" s="383">
        <f t="shared" si="5"/>
        <v>6114.2062054211128</v>
      </c>
      <c r="K13" s="6"/>
      <c r="L13" s="47"/>
      <c r="M13" s="227"/>
      <c r="N13" s="46"/>
    </row>
    <row r="14" spans="2:14" x14ac:dyDescent="0.3">
      <c r="B14" s="30">
        <v>46235</v>
      </c>
      <c r="C14" s="4">
        <f>'CONSOLIDADO-RESUMIDO'!D16</f>
        <v>3003174.5820303652</v>
      </c>
      <c r="D14" s="12">
        <f>'CONSOLIDADO-RESUMIDO'!E16</f>
        <v>75079.364550759128</v>
      </c>
      <c r="E14" s="61">
        <f t="shared" si="0"/>
        <v>420444.44148425118</v>
      </c>
      <c r="F14" s="62">
        <f t="shared" si="1"/>
        <v>10143.412339788931</v>
      </c>
      <c r="G14" s="79">
        <f t="shared" si="2"/>
        <v>2432571.411444596</v>
      </c>
      <c r="H14" s="57">
        <f t="shared" si="3"/>
        <v>58686.885680207379</v>
      </c>
      <c r="I14" s="80">
        <f t="shared" si="4"/>
        <v>150158.72910151826</v>
      </c>
      <c r="J14" s="383">
        <f t="shared" si="5"/>
        <v>6256.6137125632604</v>
      </c>
      <c r="K14" s="6"/>
      <c r="L14" s="325" t="s">
        <v>48</v>
      </c>
      <c r="M14" s="323" cm="1">
        <f t="array" ref="M14">SUM(F13:F15+H13:H15+J13:J15)</f>
        <v>240650.67303117056</v>
      </c>
      <c r="N14" s="324">
        <f>SUM(C13:C15)</f>
        <v>9625059.3841153271</v>
      </c>
    </row>
    <row r="15" spans="2:14" x14ac:dyDescent="0.3">
      <c r="B15" s="30">
        <v>46266</v>
      </c>
      <c r="C15" s="4">
        <f>'CONSOLIDADO-RESUMIDO'!D17</f>
        <v>3687065.8234828277</v>
      </c>
      <c r="D15" s="12">
        <f>'CONSOLIDADO-RESUMIDO'!E17</f>
        <v>92176.6455870707</v>
      </c>
      <c r="E15" s="61">
        <f t="shared" si="0"/>
        <v>516189.21528759593</v>
      </c>
      <c r="F15" s="62">
        <f t="shared" si="1"/>
        <v>12453.298318156716</v>
      </c>
      <c r="G15" s="79">
        <f t="shared" si="2"/>
        <v>2986523.3170210905</v>
      </c>
      <c r="H15" s="57">
        <f t="shared" si="3"/>
        <v>72051.225983621</v>
      </c>
      <c r="I15" s="80">
        <f t="shared" si="4"/>
        <v>184353.2911741414</v>
      </c>
      <c r="J15" s="383">
        <f t="shared" si="5"/>
        <v>7681.3871322558916</v>
      </c>
      <c r="K15" s="6"/>
      <c r="L15" s="47"/>
      <c r="M15" s="48"/>
      <c r="N15" s="14"/>
    </row>
    <row r="16" spans="2:14" x14ac:dyDescent="0.3">
      <c r="B16" s="30">
        <v>46296</v>
      </c>
      <c r="C16" s="4">
        <f>'CONSOLIDADO-RESUMIDO'!D18</f>
        <v>3895206.6360988012</v>
      </c>
      <c r="D16" s="12">
        <f>'CONSOLIDADO-RESUMIDO'!E18</f>
        <v>97380.165902470035</v>
      </c>
      <c r="E16" s="61">
        <f t="shared" si="0"/>
        <v>545328.92905383219</v>
      </c>
      <c r="F16" s="62">
        <f t="shared" si="1"/>
        <v>13156.307094181717</v>
      </c>
      <c r="G16" s="79">
        <f t="shared" si="2"/>
        <v>3155117.3752400293</v>
      </c>
      <c r="H16" s="57">
        <f t="shared" si="3"/>
        <v>76118.63390205137</v>
      </c>
      <c r="I16" s="80">
        <f t="shared" si="4"/>
        <v>194760.33180494007</v>
      </c>
      <c r="J16" s="383">
        <f t="shared" si="5"/>
        <v>8115.0138252058359</v>
      </c>
      <c r="K16" s="6"/>
      <c r="L16" s="47"/>
      <c r="M16" s="227"/>
      <c r="N16" s="46"/>
    </row>
    <row r="17" spans="2:16" x14ac:dyDescent="0.3">
      <c r="B17" s="30">
        <v>46327</v>
      </c>
      <c r="C17" s="4">
        <f>'CONSOLIDADO-RESUMIDO'!D19</f>
        <v>2973440.1802280829</v>
      </c>
      <c r="D17" s="12">
        <f>'CONSOLIDADO-RESUMIDO'!E19</f>
        <v>74336.004505702076</v>
      </c>
      <c r="E17" s="61">
        <f t="shared" si="0"/>
        <v>416281.62523193163</v>
      </c>
      <c r="F17" s="62">
        <f t="shared" si="1"/>
        <v>10042.982514642499</v>
      </c>
      <c r="G17" s="79">
        <f t="shared" si="2"/>
        <v>2408486.5459847474</v>
      </c>
      <c r="H17" s="57">
        <f t="shared" si="3"/>
        <v>58105.827406145894</v>
      </c>
      <c r="I17" s="80">
        <f t="shared" si="4"/>
        <v>148672.00901140415</v>
      </c>
      <c r="J17" s="383">
        <f t="shared" si="5"/>
        <v>6194.6670421418394</v>
      </c>
      <c r="K17" s="6"/>
      <c r="L17" s="325" t="s">
        <v>49</v>
      </c>
      <c r="M17" s="323" cm="1">
        <f t="array" ref="M17">SUM(F16:F18+H16:H18+J16:J18)</f>
        <v>201648.42236939282</v>
      </c>
      <c r="N17" s="324">
        <f>SUM(C16:C18)</f>
        <v>8065126.1663713725</v>
      </c>
    </row>
    <row r="18" spans="2:16" x14ac:dyDescent="0.3">
      <c r="B18" s="30">
        <v>46357</v>
      </c>
      <c r="C18" s="4">
        <f>'CONSOLIDADO-RESUMIDO'!D20</f>
        <v>1196479.350044488</v>
      </c>
      <c r="D18" s="12">
        <f>'CONSOLIDADO-RESUMIDO'!E20</f>
        <v>29911.983751112199</v>
      </c>
      <c r="E18" s="61">
        <f t="shared" si="0"/>
        <v>167507.10900622833</v>
      </c>
      <c r="F18" s="62">
        <f t="shared" si="1"/>
        <v>4041.1847769898268</v>
      </c>
      <c r="G18" s="79">
        <f t="shared" si="2"/>
        <v>969148.27353603533</v>
      </c>
      <c r="H18" s="57">
        <f t="shared" si="3"/>
        <v>23381.140495441141</v>
      </c>
      <c r="I18" s="80">
        <f t="shared" si="4"/>
        <v>59823.967502224405</v>
      </c>
      <c r="J18" s="383">
        <f t="shared" si="5"/>
        <v>2492.6653125926837</v>
      </c>
      <c r="K18" s="6"/>
      <c r="L18" s="47"/>
    </row>
    <row r="19" spans="2:16" x14ac:dyDescent="0.3">
      <c r="B19" s="7"/>
      <c r="C19" s="10"/>
      <c r="D19" s="21"/>
      <c r="E19" s="28"/>
      <c r="F19" s="9"/>
      <c r="G19" s="8"/>
      <c r="H19" s="51"/>
      <c r="I19" s="8"/>
      <c r="J19" s="384"/>
      <c r="K19" s="50"/>
      <c r="L19" s="47"/>
      <c r="M19" s="2"/>
    </row>
    <row r="20" spans="2:16" x14ac:dyDescent="0.3">
      <c r="B20" s="19"/>
      <c r="C20" s="23">
        <f t="shared" ref="C20:D20" si="6">SUM(C7:C19)</f>
        <v>32556563.939999998</v>
      </c>
      <c r="D20" s="24">
        <f t="shared" si="6"/>
        <v>813914.09849999985</v>
      </c>
      <c r="E20" s="61">
        <f t="shared" ref="E20:J20" si="7">SUM(E7:E19)</f>
        <v>4557918.9515999993</v>
      </c>
      <c r="F20" s="62">
        <f t="shared" si="7"/>
        <v>109961.85649215919</v>
      </c>
      <c r="G20" s="79">
        <f t="shared" si="7"/>
        <v>26370816.791399993</v>
      </c>
      <c r="H20" s="317">
        <f t="shared" si="7"/>
        <v>636207.8839903496</v>
      </c>
      <c r="I20" s="80">
        <f t="shared" si="7"/>
        <v>1627828.1969999997</v>
      </c>
      <c r="J20" s="385">
        <f t="shared" si="7"/>
        <v>67826.174874999982</v>
      </c>
      <c r="K20" s="6"/>
      <c r="L20" s="326" t="s">
        <v>50</v>
      </c>
      <c r="M20" s="352">
        <f>F20+H20+J20</f>
        <v>813995.91535750881</v>
      </c>
      <c r="N20" s="327">
        <f>E20+G20+I20</f>
        <v>32556563.939999994</v>
      </c>
    </row>
    <row r="21" spans="2:16" x14ac:dyDescent="0.3">
      <c r="B21" s="19" t="s">
        <v>1</v>
      </c>
      <c r="C21" s="4">
        <f t="shared" ref="C21:D21" si="8">C20/12</f>
        <v>2713046.9949999996</v>
      </c>
      <c r="D21" s="353">
        <f t="shared" si="8"/>
        <v>67826.174874999982</v>
      </c>
      <c r="E21" s="27"/>
      <c r="F21" s="6"/>
      <c r="G21" s="2"/>
      <c r="H21" s="50"/>
      <c r="I21" s="2"/>
      <c r="J21" s="351">
        <f>M20-D20</f>
        <v>81.816857508965768</v>
      </c>
      <c r="K21" s="50"/>
      <c r="M21" s="2">
        <f>N20/M20</f>
        <v>39.995979495426681</v>
      </c>
    </row>
    <row r="25" spans="2:16" ht="21" x14ac:dyDescent="0.4">
      <c r="C25" s="445" t="s">
        <v>44</v>
      </c>
      <c r="D25" s="446"/>
      <c r="E25" s="446"/>
      <c r="F25" s="446"/>
      <c r="G25" s="446"/>
      <c r="H25" s="446"/>
      <c r="I25" s="446"/>
      <c r="J25" s="447"/>
      <c r="K25" s="321"/>
    </row>
    <row r="26" spans="2:16" x14ac:dyDescent="0.3">
      <c r="C26" s="52">
        <f>'CONSOLIDADO-RESUMIDO'!D26</f>
        <v>32443436.059999999</v>
      </c>
      <c r="D26" s="53"/>
      <c r="E26" s="53">
        <v>12</v>
      </c>
      <c r="F26" s="53"/>
      <c r="G26" s="53"/>
      <c r="H26" s="53"/>
      <c r="I26" s="53"/>
      <c r="J26" s="54">
        <f>E27+G27+I27</f>
        <v>1</v>
      </c>
      <c r="K26" s="119"/>
    </row>
    <row r="27" spans="2:16" x14ac:dyDescent="0.3">
      <c r="C27" s="318">
        <v>25</v>
      </c>
      <c r="D27" s="319"/>
      <c r="E27" s="423">
        <v>0.8</v>
      </c>
      <c r="F27" s="423"/>
      <c r="G27" s="424">
        <v>0.15</v>
      </c>
      <c r="H27" s="424"/>
      <c r="I27" s="432">
        <v>0.05</v>
      </c>
      <c r="J27" s="444"/>
      <c r="K27" s="220"/>
      <c r="N27" s="3"/>
    </row>
    <row r="28" spans="2:16" s="14" customFormat="1" x14ac:dyDescent="0.3">
      <c r="B28" s="63"/>
      <c r="C28" s="77" t="s">
        <v>2</v>
      </c>
      <c r="D28" s="78" t="s">
        <v>0</v>
      </c>
      <c r="E28" s="425" t="s">
        <v>6</v>
      </c>
      <c r="F28" s="425"/>
      <c r="G28" s="425" t="s">
        <v>7</v>
      </c>
      <c r="H28" s="425"/>
      <c r="I28" s="425" t="s">
        <v>8</v>
      </c>
      <c r="J28" s="440"/>
      <c r="K28" s="220"/>
      <c r="L28" s="386">
        <v>8.57</v>
      </c>
      <c r="N28" s="345"/>
    </row>
    <row r="29" spans="2:16" x14ac:dyDescent="0.3">
      <c r="B29" s="29">
        <v>46023</v>
      </c>
      <c r="C29" s="15">
        <f>'CONSOLIDADO-RESUMIDO'!D29</f>
        <v>2219131.0265040002</v>
      </c>
      <c r="D29" s="20">
        <f>C29/$C$27</f>
        <v>88765.241060160013</v>
      </c>
      <c r="E29" s="59">
        <f>C29*$E$27</f>
        <v>1775304.8212032001</v>
      </c>
      <c r="F29" s="60">
        <f>E29/$C$27</f>
        <v>71012.192848128005</v>
      </c>
      <c r="G29" s="55">
        <f>C29*$G$27</f>
        <v>332869.65397560003</v>
      </c>
      <c r="H29" s="56">
        <f>G29/$C$27</f>
        <v>13314.786159024001</v>
      </c>
      <c r="I29" s="58">
        <f>C29*$I$27</f>
        <v>110956.55132520001</v>
      </c>
      <c r="J29" s="382">
        <f>I29/$L$28</f>
        <v>12947.088836079347</v>
      </c>
      <c r="K29" s="6"/>
      <c r="L29" s="325" t="s">
        <v>46</v>
      </c>
      <c r="M29" s="323" cm="1">
        <f t="array" ref="M29">SUM(F29:F31+H29:H31+J29:J31)</f>
        <v>307181.26687336212</v>
      </c>
      <c r="N29" s="324">
        <f>SUM(C29:C31)</f>
        <v>7007782.1889599999</v>
      </c>
      <c r="O29" s="35"/>
      <c r="P29" s="304">
        <f>N29/20.94</f>
        <v>334660.08543266472</v>
      </c>
    </row>
    <row r="30" spans="2:16" x14ac:dyDescent="0.3">
      <c r="B30" s="30">
        <v>46054</v>
      </c>
      <c r="C30" s="4">
        <f>'CONSOLIDADO-RESUMIDO'!D30</f>
        <v>2335927.3963199998</v>
      </c>
      <c r="D30" s="12">
        <f t="shared" ref="D30:D40" si="9">C30/$C$27</f>
        <v>93437.09585279999</v>
      </c>
      <c r="E30" s="61">
        <f t="shared" ref="E30:E40" si="10">C30*$E$27</f>
        <v>1868741.9170559999</v>
      </c>
      <c r="F30" s="62">
        <f t="shared" ref="F30:F40" si="11">E30/$C$27</f>
        <v>74749.676682239995</v>
      </c>
      <c r="G30" s="79">
        <f t="shared" ref="G30:G40" si="12">C30*$G$27</f>
        <v>350389.10944799997</v>
      </c>
      <c r="H30" s="57">
        <f t="shared" ref="H30:H40" si="13">G30/$C$27</f>
        <v>14015.564377919998</v>
      </c>
      <c r="I30" s="80">
        <f t="shared" ref="I30:I40" si="14">C30*$I$27</f>
        <v>116796.36981599999</v>
      </c>
      <c r="J30" s="383">
        <f t="shared" ref="J30:J40" si="15">I30/$L$28</f>
        <v>13628.514564294048</v>
      </c>
      <c r="K30" s="6"/>
      <c r="L30" s="47"/>
      <c r="M30" s="48"/>
      <c r="N30" s="14"/>
    </row>
    <row r="31" spans="2:16" x14ac:dyDescent="0.3">
      <c r="B31" s="30">
        <v>46082</v>
      </c>
      <c r="C31" s="4">
        <f>'CONSOLIDADO-RESUMIDO'!D31</f>
        <v>2452723.7661359999</v>
      </c>
      <c r="D31" s="12">
        <f t="shared" si="9"/>
        <v>98108.950645439996</v>
      </c>
      <c r="E31" s="61">
        <f t="shared" si="10"/>
        <v>1962179.0129088</v>
      </c>
      <c r="F31" s="62">
        <f t="shared" si="11"/>
        <v>78487.160516352</v>
      </c>
      <c r="G31" s="79">
        <f t="shared" si="12"/>
        <v>367908.56492039998</v>
      </c>
      <c r="H31" s="57">
        <f t="shared" si="13"/>
        <v>14716.342596815999</v>
      </c>
      <c r="I31" s="80">
        <f t="shared" si="14"/>
        <v>122636.1883068</v>
      </c>
      <c r="J31" s="383">
        <f t="shared" si="15"/>
        <v>14309.940292508751</v>
      </c>
      <c r="K31" s="6"/>
      <c r="L31" s="47"/>
      <c r="M31" s="48"/>
      <c r="N31" s="14"/>
    </row>
    <row r="32" spans="2:16" x14ac:dyDescent="0.3">
      <c r="B32" s="30">
        <v>46113</v>
      </c>
      <c r="C32" s="4">
        <f>'CONSOLIDADO-RESUMIDO'!D32</f>
        <v>2916664.9017939996</v>
      </c>
      <c r="D32" s="12">
        <f t="shared" si="9"/>
        <v>116666.59607175998</v>
      </c>
      <c r="E32" s="61">
        <f t="shared" si="10"/>
        <v>2333331.9214351997</v>
      </c>
      <c r="F32" s="62">
        <f t="shared" si="11"/>
        <v>93333.276857407982</v>
      </c>
      <c r="G32" s="79">
        <f t="shared" si="12"/>
        <v>437499.73526909994</v>
      </c>
      <c r="H32" s="57">
        <f t="shared" si="13"/>
        <v>17499.989410763999</v>
      </c>
      <c r="I32" s="80">
        <f t="shared" si="14"/>
        <v>145833.24508969998</v>
      </c>
      <c r="J32" s="383">
        <f t="shared" si="15"/>
        <v>17016.71471291715</v>
      </c>
      <c r="K32" s="6"/>
      <c r="L32" s="325" t="s">
        <v>47</v>
      </c>
      <c r="M32" s="323" cm="1">
        <f t="array" ref="M32">SUM(F32:F34+H32:H34+J32:J34)</f>
        <v>398197.93853954354</v>
      </c>
      <c r="N32" s="324">
        <f>SUM(C32:C34)</f>
        <v>9084162.0967999995</v>
      </c>
    </row>
    <row r="33" spans="2:14" x14ac:dyDescent="0.3">
      <c r="B33" s="30">
        <v>46143</v>
      </c>
      <c r="C33" s="4">
        <f>'CONSOLIDADO-RESUMIDO'!D33</f>
        <v>3072393.3948820001</v>
      </c>
      <c r="D33" s="12">
        <f t="shared" si="9"/>
        <v>122895.73579528001</v>
      </c>
      <c r="E33" s="61">
        <f t="shared" si="10"/>
        <v>2457914.7159056002</v>
      </c>
      <c r="F33" s="62">
        <f t="shared" si="11"/>
        <v>98316.588636224013</v>
      </c>
      <c r="G33" s="79">
        <f t="shared" si="12"/>
        <v>460859.00923229998</v>
      </c>
      <c r="H33" s="57">
        <f t="shared" si="13"/>
        <v>18434.360369292001</v>
      </c>
      <c r="I33" s="80">
        <f t="shared" si="14"/>
        <v>153619.66974410001</v>
      </c>
      <c r="J33" s="383">
        <f t="shared" si="15"/>
        <v>17925.282350536756</v>
      </c>
      <c r="K33" s="6"/>
      <c r="L33" s="47"/>
      <c r="M33" s="48"/>
      <c r="N33" s="14"/>
    </row>
    <row r="34" spans="2:14" x14ac:dyDescent="0.3">
      <c r="B34" s="30">
        <v>46174</v>
      </c>
      <c r="C34" s="4">
        <f>'CONSOLIDADO-RESUMIDO'!D34</f>
        <v>3095103.8001239998</v>
      </c>
      <c r="D34" s="12">
        <f t="shared" si="9"/>
        <v>123804.15200495999</v>
      </c>
      <c r="E34" s="61">
        <f t="shared" si="10"/>
        <v>2476083.0400991999</v>
      </c>
      <c r="F34" s="62">
        <f t="shared" si="11"/>
        <v>99043.321603967997</v>
      </c>
      <c r="G34" s="79">
        <f t="shared" si="12"/>
        <v>464265.57001859997</v>
      </c>
      <c r="H34" s="57">
        <f t="shared" si="13"/>
        <v>18570.622800744</v>
      </c>
      <c r="I34" s="80">
        <f t="shared" si="14"/>
        <v>154755.19000619999</v>
      </c>
      <c r="J34" s="383">
        <f t="shared" si="15"/>
        <v>18057.781797689615</v>
      </c>
      <c r="K34" s="6"/>
      <c r="L34" s="47"/>
      <c r="M34" s="227"/>
      <c r="N34" s="46"/>
    </row>
    <row r="35" spans="2:14" x14ac:dyDescent="0.3">
      <c r="B35" s="30">
        <v>46204</v>
      </c>
      <c r="C35" s="4">
        <f>'CONSOLIDADO-RESUMIDO'!D35</f>
        <v>3098348.1437300001</v>
      </c>
      <c r="D35" s="12">
        <f t="shared" si="9"/>
        <v>123933.9257492</v>
      </c>
      <c r="E35" s="61">
        <f t="shared" si="10"/>
        <v>2478678.514984</v>
      </c>
      <c r="F35" s="62">
        <f t="shared" si="11"/>
        <v>99147.140599360006</v>
      </c>
      <c r="G35" s="79">
        <f t="shared" si="12"/>
        <v>464752.22155950003</v>
      </c>
      <c r="H35" s="57">
        <f t="shared" si="13"/>
        <v>18590.088862380002</v>
      </c>
      <c r="I35" s="80">
        <f t="shared" si="14"/>
        <v>154917.4071865</v>
      </c>
      <c r="J35" s="383">
        <f t="shared" si="15"/>
        <v>18076.710290140021</v>
      </c>
      <c r="K35" s="6"/>
      <c r="L35" s="325" t="s">
        <v>48</v>
      </c>
      <c r="M35" s="323" cm="1">
        <f t="array" ref="M35">SUM(F35:F37+H35:H37+J35:J37)</f>
        <v>409859.44959677302</v>
      </c>
      <c r="N35" s="324">
        <f>SUM(C35:C37)</f>
        <v>9350198.272491999</v>
      </c>
    </row>
    <row r="36" spans="2:14" x14ac:dyDescent="0.3">
      <c r="B36" s="30">
        <v>46235</v>
      </c>
      <c r="C36" s="4">
        <f>'CONSOLIDADO-RESUMIDO'!D36</f>
        <v>3224877.5443639997</v>
      </c>
      <c r="D36" s="12">
        <f t="shared" si="9"/>
        <v>128995.10177456</v>
      </c>
      <c r="E36" s="61">
        <f t="shared" si="10"/>
        <v>2579902.0354912002</v>
      </c>
      <c r="F36" s="62">
        <f t="shared" si="11"/>
        <v>103196.08141964801</v>
      </c>
      <c r="G36" s="79">
        <f t="shared" si="12"/>
        <v>483731.63165459991</v>
      </c>
      <c r="H36" s="57">
        <f t="shared" si="13"/>
        <v>19349.265266183997</v>
      </c>
      <c r="I36" s="80">
        <f t="shared" si="14"/>
        <v>161243.87721820001</v>
      </c>
      <c r="J36" s="383">
        <f t="shared" si="15"/>
        <v>18814.921495705952</v>
      </c>
      <c r="K36" s="6"/>
      <c r="L36" s="47"/>
      <c r="M36" s="48"/>
      <c r="N36" s="14"/>
    </row>
    <row r="37" spans="2:14" x14ac:dyDescent="0.3">
      <c r="B37" s="30">
        <v>46266</v>
      </c>
      <c r="C37" s="4">
        <f>'CONSOLIDADO-RESUMIDO'!D37</f>
        <v>3026972.5843979996</v>
      </c>
      <c r="D37" s="12">
        <f t="shared" si="9"/>
        <v>121078.90337591998</v>
      </c>
      <c r="E37" s="61">
        <f t="shared" si="10"/>
        <v>2421578.0675183996</v>
      </c>
      <c r="F37" s="62">
        <f t="shared" si="11"/>
        <v>96863.122700735985</v>
      </c>
      <c r="G37" s="79">
        <f t="shared" si="12"/>
        <v>454045.88765969995</v>
      </c>
      <c r="H37" s="57">
        <f t="shared" si="13"/>
        <v>18161.835506387997</v>
      </c>
      <c r="I37" s="80">
        <f t="shared" si="14"/>
        <v>151348.62921989997</v>
      </c>
      <c r="J37" s="383">
        <f t="shared" si="15"/>
        <v>17660.283456231035</v>
      </c>
      <c r="K37" s="6"/>
      <c r="L37" s="47"/>
      <c r="M37" s="227"/>
      <c r="N37" s="46"/>
    </row>
    <row r="38" spans="2:14" x14ac:dyDescent="0.3">
      <c r="B38" s="30">
        <v>46296</v>
      </c>
      <c r="C38" s="4">
        <f>'CONSOLIDADO-RESUMIDO'!D38</f>
        <v>3195678.4519099998</v>
      </c>
      <c r="D38" s="12">
        <f t="shared" si="9"/>
        <v>127827.13807639999</v>
      </c>
      <c r="E38" s="61">
        <f t="shared" si="10"/>
        <v>2556542.7615280002</v>
      </c>
      <c r="F38" s="62">
        <f t="shared" si="11"/>
        <v>102261.71046112</v>
      </c>
      <c r="G38" s="79">
        <f t="shared" si="12"/>
        <v>479351.76778649993</v>
      </c>
      <c r="H38" s="57">
        <f t="shared" si="13"/>
        <v>19174.070711459997</v>
      </c>
      <c r="I38" s="80">
        <f t="shared" si="14"/>
        <v>159783.92259550001</v>
      </c>
      <c r="J38" s="383">
        <f t="shared" si="15"/>
        <v>18644.565063652277</v>
      </c>
      <c r="K38" s="6"/>
      <c r="L38" s="325" t="s">
        <v>49</v>
      </c>
      <c r="M38" s="323" cm="1">
        <f t="array" ref="M38">SUM(F38:F40+H38:H40+J38:J40)</f>
        <v>306896.83977440535</v>
      </c>
      <c r="N38" s="324">
        <f>SUM(C38:C40)</f>
        <v>7001293.5017479993</v>
      </c>
    </row>
    <row r="39" spans="2:14" x14ac:dyDescent="0.3">
      <c r="B39" s="30">
        <v>46327</v>
      </c>
      <c r="C39" s="4">
        <f>'CONSOLIDADO-RESUMIDO'!D39</f>
        <v>2439746.3917120001</v>
      </c>
      <c r="D39" s="12">
        <f t="shared" si="9"/>
        <v>97589.855668479999</v>
      </c>
      <c r="E39" s="61">
        <f t="shared" si="10"/>
        <v>1951797.1133696001</v>
      </c>
      <c r="F39" s="62">
        <f t="shared" si="11"/>
        <v>78071.884534784011</v>
      </c>
      <c r="G39" s="79">
        <f t="shared" si="12"/>
        <v>365961.95875679998</v>
      </c>
      <c r="H39" s="57">
        <f t="shared" si="13"/>
        <v>14638.478350272</v>
      </c>
      <c r="I39" s="80">
        <f t="shared" si="14"/>
        <v>121987.31958560001</v>
      </c>
      <c r="J39" s="383">
        <f t="shared" si="15"/>
        <v>14234.226322707118</v>
      </c>
      <c r="K39" s="6"/>
      <c r="L39" s="47"/>
    </row>
    <row r="40" spans="2:14" x14ac:dyDescent="0.3">
      <c r="B40" s="30">
        <v>46357</v>
      </c>
      <c r="C40" s="4">
        <f>'CONSOLIDADO-RESUMIDO'!D40</f>
        <v>1365868.6581259998</v>
      </c>
      <c r="D40" s="12">
        <f t="shared" si="9"/>
        <v>54634.746325039996</v>
      </c>
      <c r="E40" s="61">
        <f t="shared" si="10"/>
        <v>1092694.9265007998</v>
      </c>
      <c r="F40" s="62">
        <f t="shared" si="11"/>
        <v>43707.797060031997</v>
      </c>
      <c r="G40" s="79">
        <f t="shared" si="12"/>
        <v>204880.29871889998</v>
      </c>
      <c r="H40" s="57">
        <f t="shared" si="13"/>
        <v>8195.2119487559994</v>
      </c>
      <c r="I40" s="80">
        <f t="shared" si="14"/>
        <v>68293.43290629999</v>
      </c>
      <c r="J40" s="383">
        <f t="shared" si="15"/>
        <v>7968.8953216219352</v>
      </c>
      <c r="K40" s="6"/>
      <c r="L40" s="47"/>
      <c r="M40" s="2"/>
    </row>
    <row r="41" spans="2:14" x14ac:dyDescent="0.3">
      <c r="B41" s="7"/>
      <c r="C41" s="10"/>
      <c r="D41" s="21"/>
      <c r="E41" s="28"/>
      <c r="F41" s="9"/>
      <c r="G41" s="8"/>
      <c r="H41" s="51"/>
      <c r="I41" s="8"/>
      <c r="J41" s="384"/>
      <c r="K41" s="50"/>
      <c r="L41" s="326" t="s">
        <v>50</v>
      </c>
      <c r="M41" s="352">
        <f>M29+M32+M35+M38</f>
        <v>1422135.4947840839</v>
      </c>
      <c r="N41" s="327">
        <f>N38+N35+N32+N29</f>
        <v>32443436.059999999</v>
      </c>
    </row>
    <row r="42" spans="2:14" x14ac:dyDescent="0.3">
      <c r="B42" s="19"/>
      <c r="C42" s="23">
        <f t="shared" ref="C42:D42" si="16">SUM(C29:C41)</f>
        <v>32443436.059999999</v>
      </c>
      <c r="D42" s="24">
        <f t="shared" si="16"/>
        <v>1297737.4424000001</v>
      </c>
      <c r="E42" s="61">
        <f>SUM(E29:E41)</f>
        <v>25954748.848000001</v>
      </c>
      <c r="F42" s="62">
        <f t="shared" ref="F42:J42" si="17">SUM(F29:F41)</f>
        <v>1038189.9539200001</v>
      </c>
      <c r="G42" s="79">
        <f t="shared" si="17"/>
        <v>4866515.409</v>
      </c>
      <c r="H42" s="57">
        <f t="shared" si="17"/>
        <v>194660.61635999996</v>
      </c>
      <c r="I42" s="80">
        <f t="shared" si="17"/>
        <v>1622171.8030000001</v>
      </c>
      <c r="J42" s="385">
        <f t="shared" si="17"/>
        <v>189284.92450408399</v>
      </c>
      <c r="K42" s="6"/>
      <c r="M42" s="50">
        <f>N41/M41</f>
        <v>22.813182132779641</v>
      </c>
    </row>
    <row r="43" spans="2:14" x14ac:dyDescent="0.3">
      <c r="B43" s="19" t="s">
        <v>1</v>
      </c>
      <c r="C43" s="4">
        <f t="shared" ref="C43:D43" si="18">C42/12</f>
        <v>2703619.6716666664</v>
      </c>
      <c r="D43" s="353">
        <f t="shared" si="18"/>
        <v>108144.78686666668</v>
      </c>
      <c r="E43" s="27"/>
      <c r="F43" s="6"/>
      <c r="G43" s="2"/>
      <c r="H43" s="50"/>
      <c r="I43" s="2"/>
      <c r="J43" s="351">
        <f>M42-D42</f>
        <v>-1297714.6292178673</v>
      </c>
      <c r="K43" s="50"/>
      <c r="M43" s="2"/>
    </row>
    <row r="44" spans="2:14" x14ac:dyDescent="0.3">
      <c r="C44" s="2"/>
      <c r="D44" s="346"/>
      <c r="E44" s="2"/>
      <c r="F44" s="2"/>
      <c r="G44" s="25"/>
      <c r="I44" s="2"/>
    </row>
    <row r="45" spans="2:14" x14ac:dyDescent="0.3">
      <c r="D45" s="346"/>
      <c r="E45" s="2"/>
    </row>
    <row r="46" spans="2:14" ht="21" x14ac:dyDescent="0.4">
      <c r="C46" s="429" t="s">
        <v>42</v>
      </c>
      <c r="D46" s="430"/>
      <c r="E46" s="430"/>
      <c r="F46" s="430"/>
      <c r="G46" s="430"/>
      <c r="H46" s="430"/>
      <c r="I46" s="430"/>
      <c r="J46" s="431"/>
      <c r="K46" s="321"/>
    </row>
    <row r="47" spans="2:14" x14ac:dyDescent="0.3">
      <c r="C47" s="52">
        <f>C63</f>
        <v>64999999.999999985</v>
      </c>
      <c r="D47" s="53"/>
      <c r="E47" s="53"/>
      <c r="F47" s="53"/>
      <c r="G47" s="53"/>
      <c r="H47" s="53"/>
      <c r="I47" s="53"/>
      <c r="J47" s="54">
        <f>E48+G48+I48</f>
        <v>1</v>
      </c>
      <c r="K47" s="119"/>
    </row>
    <row r="48" spans="2:14" x14ac:dyDescent="0.3">
      <c r="C48" s="320">
        <f>C63/D63</f>
        <v>30.781593809884253</v>
      </c>
      <c r="D48" s="319"/>
      <c r="E48" s="432">
        <f>E63/C63</f>
        <v>0.46942565845538464</v>
      </c>
      <c r="F48" s="432"/>
      <c r="G48" s="433">
        <f>G63/C63</f>
        <v>0.48057434154461531</v>
      </c>
      <c r="H48" s="433"/>
      <c r="I48" s="423">
        <f>I63/C63</f>
        <v>5.0000000000000017E-2</v>
      </c>
      <c r="J48" s="439"/>
      <c r="K48" s="220"/>
    </row>
    <row r="49" spans="2:14" s="14" customFormat="1" x14ac:dyDescent="0.3">
      <c r="B49" s="63"/>
      <c r="C49" s="77" t="s">
        <v>2</v>
      </c>
      <c r="D49" s="78" t="s">
        <v>0</v>
      </c>
      <c r="E49" s="425" t="s">
        <v>6</v>
      </c>
      <c r="F49" s="425"/>
      <c r="G49" s="425" t="s">
        <v>7</v>
      </c>
      <c r="H49" s="425"/>
      <c r="I49" s="425" t="s">
        <v>8</v>
      </c>
      <c r="J49" s="440"/>
      <c r="K49" s="220"/>
    </row>
    <row r="50" spans="2:14" x14ac:dyDescent="0.3">
      <c r="B50" s="29">
        <v>46023</v>
      </c>
      <c r="C50" s="15">
        <f>C29+C7</f>
        <v>4508773.9298347589</v>
      </c>
      <c r="D50" s="20">
        <f t="shared" ref="D50:E61" si="19">D7+D29</f>
        <v>146006.31364342899</v>
      </c>
      <c r="E50" s="59">
        <f t="shared" si="19"/>
        <v>2095854.8276695064</v>
      </c>
      <c r="F50" s="60">
        <f t="shared" ref="F50:J61" si="20">F29+F7</f>
        <v>78745.606755638408</v>
      </c>
      <c r="G50" s="55">
        <f t="shared" si="20"/>
        <v>2187480.4056735151</v>
      </c>
      <c r="H50" s="56">
        <f t="shared" si="20"/>
        <v>58058.109481048486</v>
      </c>
      <c r="I50" s="58">
        <f t="shared" si="20"/>
        <v>225438.69649173797</v>
      </c>
      <c r="J50" s="347">
        <f t="shared" si="20"/>
        <v>17717.178218018427</v>
      </c>
      <c r="K50" s="6"/>
    </row>
    <row r="51" spans="2:14" x14ac:dyDescent="0.3">
      <c r="B51" s="30">
        <v>46054</v>
      </c>
      <c r="C51" s="4">
        <f t="shared" ref="C51:C61" si="21">C30+C8</f>
        <v>5141074.6960147023</v>
      </c>
      <c r="D51" s="12">
        <f t="shared" si="19"/>
        <v>163565.77834516752</v>
      </c>
      <c r="E51" s="61">
        <f t="shared" si="19"/>
        <v>2261462.5390132582</v>
      </c>
      <c r="F51" s="62">
        <f t="shared" si="20"/>
        <v>84224.239335008591</v>
      </c>
      <c r="G51" s="79">
        <f t="shared" si="20"/>
        <v>2622558.4222007087</v>
      </c>
      <c r="H51" s="57">
        <f t="shared" si="20"/>
        <v>68832.676868938303</v>
      </c>
      <c r="I51" s="80">
        <f t="shared" si="20"/>
        <v>257053.73480073511</v>
      </c>
      <c r="J51" s="348">
        <f t="shared" si="20"/>
        <v>19472.571438658011</v>
      </c>
      <c r="K51" s="6"/>
      <c r="L51" s="325" t="s">
        <v>46</v>
      </c>
      <c r="M51" s="323" cm="1">
        <f t="array" ref="M51">SUM(F50:F52+H50:H52+J50:J52)</f>
        <v>499907.36600566068</v>
      </c>
      <c r="N51" s="324">
        <f>SUM(C50:C52)</f>
        <v>14716051.298088979</v>
      </c>
    </row>
    <row r="52" spans="2:14" x14ac:dyDescent="0.3">
      <c r="B52" s="30">
        <v>46082</v>
      </c>
      <c r="C52" s="4">
        <f t="shared" si="21"/>
        <v>5066202.6722395178</v>
      </c>
      <c r="D52" s="12">
        <f t="shared" si="19"/>
        <v>163445.92329802795</v>
      </c>
      <c r="E52" s="61">
        <f t="shared" si="19"/>
        <v>2328066.0597632923</v>
      </c>
      <c r="F52" s="62">
        <f t="shared" si="20"/>
        <v>87314.351031538798</v>
      </c>
      <c r="G52" s="79">
        <f t="shared" si="20"/>
        <v>2484826.4788642488</v>
      </c>
      <c r="H52" s="57">
        <f t="shared" si="20"/>
        <v>65787.944863253841</v>
      </c>
      <c r="I52" s="80">
        <f t="shared" si="20"/>
        <v>253310.13361197588</v>
      </c>
      <c r="J52" s="348">
        <f t="shared" si="20"/>
        <v>19754.688013557745</v>
      </c>
      <c r="K52" s="6"/>
      <c r="L52" s="47"/>
      <c r="M52" s="48"/>
      <c r="N52" s="14"/>
    </row>
    <row r="53" spans="2:14" x14ac:dyDescent="0.3">
      <c r="B53" s="30">
        <v>46113</v>
      </c>
      <c r="C53" s="4">
        <f t="shared" si="21"/>
        <v>5405869.3608390326</v>
      </c>
      <c r="D53" s="12">
        <f t="shared" si="19"/>
        <v>178896.7075478858</v>
      </c>
      <c r="E53" s="61">
        <f t="shared" si="19"/>
        <v>2681820.5457015042</v>
      </c>
      <c r="F53" s="62">
        <f t="shared" si="20"/>
        <v>101740.72255743945</v>
      </c>
      <c r="G53" s="79">
        <f t="shared" si="20"/>
        <v>2453755.347095577</v>
      </c>
      <c r="H53" s="57">
        <f t="shared" si="20"/>
        <v>66143.068103803234</v>
      </c>
      <c r="I53" s="80">
        <f t="shared" si="20"/>
        <v>270293.46804195165</v>
      </c>
      <c r="J53" s="348">
        <f t="shared" si="20"/>
        <v>22202.557335927635</v>
      </c>
      <c r="K53" s="6"/>
      <c r="L53" s="47"/>
      <c r="M53" s="48"/>
      <c r="N53" s="14"/>
    </row>
    <row r="54" spans="2:14" x14ac:dyDescent="0.3">
      <c r="B54" s="30">
        <v>46143</v>
      </c>
      <c r="C54" s="4">
        <f t="shared" si="21"/>
        <v>5349907.9418767709</v>
      </c>
      <c r="D54" s="12">
        <f t="shared" si="19"/>
        <v>179833.59947014929</v>
      </c>
      <c r="E54" s="61">
        <f t="shared" si="19"/>
        <v>2776766.7524848683</v>
      </c>
      <c r="F54" s="62">
        <f t="shared" si="20"/>
        <v>106009.03825212915</v>
      </c>
      <c r="G54" s="79">
        <f t="shared" si="20"/>
        <v>2305645.7922980646</v>
      </c>
      <c r="H54" s="57">
        <f t="shared" si="20"/>
        <v>62940.676004171721</v>
      </c>
      <c r="I54" s="80">
        <f t="shared" si="20"/>
        <v>267495.39709383855</v>
      </c>
      <c r="J54" s="348">
        <f t="shared" si="20"/>
        <v>22670.104323442531</v>
      </c>
      <c r="K54" s="6"/>
      <c r="L54" s="325" t="s">
        <v>47</v>
      </c>
      <c r="M54" s="323" cm="1">
        <f t="array" ref="M54">SUM(F53:F55+H53:H55+J53:J55)</f>
        <v>577168.65936419053</v>
      </c>
      <c r="N54" s="324">
        <f>SUM(C53:C55)</f>
        <v>16242271.377184313</v>
      </c>
    </row>
    <row r="55" spans="2:14" x14ac:dyDescent="0.3">
      <c r="B55" s="30">
        <v>46174</v>
      </c>
      <c r="C55" s="4">
        <f t="shared" si="21"/>
        <v>5486494.0744685093</v>
      </c>
      <c r="D55" s="12">
        <f t="shared" si="19"/>
        <v>183588.90886357272</v>
      </c>
      <c r="E55" s="61">
        <f t="shared" si="19"/>
        <v>2810877.6785074314</v>
      </c>
      <c r="F55" s="62">
        <f t="shared" si="20"/>
        <v>107120.39370066838</v>
      </c>
      <c r="G55" s="79">
        <f t="shared" si="20"/>
        <v>2401291.6922376528</v>
      </c>
      <c r="H55" s="57">
        <f t="shared" si="20"/>
        <v>65302.254217367707</v>
      </c>
      <c r="I55" s="80">
        <f t="shared" si="20"/>
        <v>274324.70372342545</v>
      </c>
      <c r="J55" s="348">
        <f t="shared" si="20"/>
        <v>23039.844869240675</v>
      </c>
      <c r="K55" s="6"/>
      <c r="L55" s="47"/>
      <c r="M55" s="48"/>
      <c r="N55" s="14"/>
    </row>
    <row r="56" spans="2:14" x14ac:dyDescent="0.3">
      <c r="B56" s="30">
        <v>46204</v>
      </c>
      <c r="C56" s="4">
        <f t="shared" si="21"/>
        <v>6033167.1223321343</v>
      </c>
      <c r="D56" s="12">
        <f t="shared" si="19"/>
        <v>197304.40021425334</v>
      </c>
      <c r="E56" s="61">
        <f t="shared" si="19"/>
        <v>2889553.1719882987</v>
      </c>
      <c r="F56" s="62">
        <f t="shared" si="20"/>
        <v>109059.67755965672</v>
      </c>
      <c r="G56" s="79">
        <f t="shared" si="20"/>
        <v>2841955.5942272288</v>
      </c>
      <c r="H56" s="57">
        <f t="shared" si="20"/>
        <v>75941.195561239569</v>
      </c>
      <c r="I56" s="80">
        <f t="shared" si="20"/>
        <v>301658.35611660674</v>
      </c>
      <c r="J56" s="348">
        <f t="shared" si="20"/>
        <v>24190.916495561134</v>
      </c>
      <c r="K56" s="6"/>
      <c r="L56" s="47"/>
      <c r="M56" s="227"/>
      <c r="N56" s="46"/>
    </row>
    <row r="57" spans="2:14" x14ac:dyDescent="0.3">
      <c r="B57" s="30">
        <v>46235</v>
      </c>
      <c r="C57" s="4">
        <f t="shared" si="21"/>
        <v>6228052.126394365</v>
      </c>
      <c r="D57" s="12">
        <f t="shared" si="19"/>
        <v>204074.46632531914</v>
      </c>
      <c r="E57" s="61">
        <f t="shared" si="19"/>
        <v>3000346.4769754512</v>
      </c>
      <c r="F57" s="62">
        <f t="shared" si="20"/>
        <v>113339.49375943694</v>
      </c>
      <c r="G57" s="79">
        <f t="shared" si="20"/>
        <v>2916303.0430991957</v>
      </c>
      <c r="H57" s="57">
        <f t="shared" si="20"/>
        <v>78036.150946391368</v>
      </c>
      <c r="I57" s="80">
        <f t="shared" si="20"/>
        <v>311402.6063197183</v>
      </c>
      <c r="J57" s="348">
        <f t="shared" si="20"/>
        <v>25071.535208269212</v>
      </c>
      <c r="K57" s="6"/>
      <c r="L57" s="325" t="s">
        <v>48</v>
      </c>
      <c r="M57" s="323" cm="1">
        <f t="array" ref="M57">SUM(F56:F58+H56:H58+J56:J58)</f>
        <v>650510.12262794352</v>
      </c>
      <c r="N57" s="324">
        <f>SUM(C56:C58)</f>
        <v>18975257.656607326</v>
      </c>
    </row>
    <row r="58" spans="2:14" x14ac:dyDescent="0.3">
      <c r="B58" s="30">
        <v>46266</v>
      </c>
      <c r="C58" s="4">
        <f t="shared" si="21"/>
        <v>6714038.4078808278</v>
      </c>
      <c r="D58" s="12">
        <f t="shared" si="19"/>
        <v>213255.5489629907</v>
      </c>
      <c r="E58" s="61">
        <f t="shared" si="19"/>
        <v>2937767.2828059956</v>
      </c>
      <c r="F58" s="62">
        <f t="shared" si="20"/>
        <v>109316.4210188927</v>
      </c>
      <c r="G58" s="79">
        <f t="shared" si="20"/>
        <v>3440569.2046807907</v>
      </c>
      <c r="H58" s="57">
        <f t="shared" si="20"/>
        <v>90213.061490009</v>
      </c>
      <c r="I58" s="80">
        <f t="shared" si="20"/>
        <v>335701.92039404134</v>
      </c>
      <c r="J58" s="348">
        <f t="shared" si="20"/>
        <v>25341.670588486926</v>
      </c>
      <c r="K58" s="6"/>
      <c r="L58" s="47"/>
      <c r="M58" s="48"/>
      <c r="N58" s="14"/>
    </row>
    <row r="59" spans="2:14" x14ac:dyDescent="0.3">
      <c r="B59" s="30">
        <v>46296</v>
      </c>
      <c r="C59" s="4">
        <f t="shared" si="21"/>
        <v>7090885.0880088005</v>
      </c>
      <c r="D59" s="12">
        <f t="shared" si="19"/>
        <v>225207.30397887004</v>
      </c>
      <c r="E59" s="61">
        <f t="shared" si="19"/>
        <v>3101871.6905818325</v>
      </c>
      <c r="F59" s="62">
        <f t="shared" si="20"/>
        <v>115418.01755530172</v>
      </c>
      <c r="G59" s="79">
        <f t="shared" si="20"/>
        <v>3634469.1430265293</v>
      </c>
      <c r="H59" s="57">
        <f t="shared" si="20"/>
        <v>95292.704613511363</v>
      </c>
      <c r="I59" s="80">
        <f t="shared" si="20"/>
        <v>354544.25440044008</v>
      </c>
      <c r="J59" s="348">
        <f t="shared" si="20"/>
        <v>26759.578888858112</v>
      </c>
      <c r="K59" s="6"/>
      <c r="L59" s="47"/>
      <c r="M59" s="227"/>
      <c r="N59" s="46"/>
    </row>
    <row r="60" spans="2:14" x14ac:dyDescent="0.3">
      <c r="B60" s="30">
        <v>46327</v>
      </c>
      <c r="C60" s="4">
        <f t="shared" si="21"/>
        <v>5413186.5719400831</v>
      </c>
      <c r="D60" s="12">
        <f t="shared" si="19"/>
        <v>171925.86017418207</v>
      </c>
      <c r="E60" s="61">
        <f t="shared" si="19"/>
        <v>2368078.7386015318</v>
      </c>
      <c r="F60" s="62">
        <f t="shared" si="20"/>
        <v>88114.86704942651</v>
      </c>
      <c r="G60" s="79">
        <f t="shared" si="20"/>
        <v>2774448.5047415472</v>
      </c>
      <c r="H60" s="57">
        <f t="shared" si="20"/>
        <v>72744.305756417889</v>
      </c>
      <c r="I60" s="80">
        <f t="shared" si="20"/>
        <v>270659.32859700418</v>
      </c>
      <c r="J60" s="348">
        <f t="shared" si="20"/>
        <v>20428.893364848958</v>
      </c>
      <c r="K60" s="6"/>
      <c r="L60" s="325" t="s">
        <v>49</v>
      </c>
      <c r="M60" s="323" cm="1">
        <f t="array" ref="M60">SUM(F59:F61+H59:H61+J59:J61)</f>
        <v>508545.26214379817</v>
      </c>
      <c r="N60" s="324">
        <f>SUM(C59:C61)</f>
        <v>15066419.668119371</v>
      </c>
    </row>
    <row r="61" spans="2:14" x14ac:dyDescent="0.3">
      <c r="B61" s="30">
        <v>46357</v>
      </c>
      <c r="C61" s="4">
        <f t="shared" si="21"/>
        <v>2562348.0081704878</v>
      </c>
      <c r="D61" s="12">
        <f t="shared" si="19"/>
        <v>84546.730076152191</v>
      </c>
      <c r="E61" s="61">
        <f t="shared" si="19"/>
        <v>1260202.0355070282</v>
      </c>
      <c r="F61" s="62">
        <f t="shared" si="20"/>
        <v>47748.981837021827</v>
      </c>
      <c r="G61" s="79">
        <f t="shared" si="20"/>
        <v>1174028.5722549353</v>
      </c>
      <c r="H61" s="57">
        <f t="shared" si="20"/>
        <v>31576.352444197139</v>
      </c>
      <c r="I61" s="80">
        <f t="shared" si="20"/>
        <v>128117.40040852439</v>
      </c>
      <c r="J61" s="348">
        <f t="shared" si="20"/>
        <v>10461.560634214618</v>
      </c>
      <c r="K61" s="6"/>
      <c r="L61" s="47"/>
    </row>
    <row r="62" spans="2:14" x14ac:dyDescent="0.3">
      <c r="B62" s="5"/>
      <c r="C62" s="4"/>
      <c r="D62" s="12"/>
      <c r="E62" s="27"/>
      <c r="F62" s="6"/>
      <c r="G62" s="2"/>
      <c r="H62" s="50"/>
      <c r="I62" s="2"/>
      <c r="J62" s="305"/>
      <c r="K62" s="50"/>
      <c r="L62" s="47"/>
      <c r="M62" s="2"/>
    </row>
    <row r="63" spans="2:14" x14ac:dyDescent="0.3">
      <c r="B63" s="306"/>
      <c r="C63" s="307">
        <f t="shared" ref="C63" si="22">SUM(C50:C62)</f>
        <v>64999999.999999985</v>
      </c>
      <c r="D63" s="308">
        <f>SUM(D50:D62)</f>
        <v>2111651.5408999999</v>
      </c>
      <c r="E63" s="315">
        <f t="shared" ref="E63:J63" si="23">SUM(E50:E62)</f>
        <v>30512667.799599994</v>
      </c>
      <c r="F63" s="316">
        <f>SUM(F50:F62)</f>
        <v>1148151.8104121592</v>
      </c>
      <c r="G63" s="312">
        <f t="shared" si="23"/>
        <v>31237332.200399987</v>
      </c>
      <c r="H63" s="313">
        <f t="shared" si="23"/>
        <v>830868.50035034958</v>
      </c>
      <c r="I63" s="314">
        <f t="shared" si="23"/>
        <v>3250000.0000000005</v>
      </c>
      <c r="J63" s="350">
        <f t="shared" si="23"/>
        <v>257111.09937908393</v>
      </c>
      <c r="K63" s="6"/>
      <c r="L63" s="326" t="s">
        <v>50</v>
      </c>
      <c r="M63" s="352">
        <f>F63+H63+J63</f>
        <v>2236131.4101415928</v>
      </c>
      <c r="N63" s="327">
        <f>E63+G63+I63</f>
        <v>64999999.999999985</v>
      </c>
    </row>
    <row r="64" spans="2:14" x14ac:dyDescent="0.3">
      <c r="B64" s="19" t="s">
        <v>1</v>
      </c>
      <c r="C64" s="4">
        <f t="shared" ref="C64" si="24">C63/12</f>
        <v>5416666.6666666651</v>
      </c>
      <c r="D64" s="12">
        <f>D63/12</f>
        <v>175970.96174166666</v>
      </c>
      <c r="E64" s="310">
        <f>E63/N63</f>
        <v>0.46942565845538464</v>
      </c>
      <c r="F64" s="309">
        <f>F63/M63</f>
        <v>0.51345453366690008</v>
      </c>
      <c r="G64" s="65">
        <f>G63/N63</f>
        <v>0.48057434154461531</v>
      </c>
      <c r="H64" s="309">
        <f>H63/M63</f>
        <v>0.37156514889155762</v>
      </c>
      <c r="I64" s="65">
        <f>I63/N63</f>
        <v>5.0000000000000017E-2</v>
      </c>
      <c r="J64" s="309">
        <f>J63/M63</f>
        <v>0.11498031744154229</v>
      </c>
      <c r="K64" s="322"/>
      <c r="M64" s="2">
        <f>N63/M63</f>
        <v>29.068059106546048</v>
      </c>
    </row>
    <row r="65" spans="2:11" x14ac:dyDescent="0.3">
      <c r="C65" s="50"/>
      <c r="D65" s="353">
        <f>M63/12</f>
        <v>186344.28417846607</v>
      </c>
      <c r="H65" s="50">
        <f>H63+J63</f>
        <v>1087979.5997294334</v>
      </c>
      <c r="J65" s="351">
        <f>M63-D63</f>
        <v>124479.86924159294</v>
      </c>
    </row>
    <row r="66" spans="2:11" x14ac:dyDescent="0.3">
      <c r="J66" s="50"/>
    </row>
    <row r="67" spans="2:11" x14ac:dyDescent="0.3">
      <c r="C67" s="426" t="s">
        <v>14</v>
      </c>
      <c r="D67" s="426"/>
      <c r="E67" s="426"/>
      <c r="F67" s="426"/>
      <c r="G67" s="426"/>
      <c r="J67" s="25"/>
    </row>
    <row r="68" spans="2:11" x14ac:dyDescent="0.3">
      <c r="D68" s="358" t="s">
        <v>10</v>
      </c>
      <c r="E68" s="358" t="s">
        <v>11</v>
      </c>
      <c r="F68" s="358" t="s">
        <v>12</v>
      </c>
      <c r="G68" s="358" t="s">
        <v>13</v>
      </c>
      <c r="H68" s="161" t="s">
        <v>71</v>
      </c>
    </row>
    <row r="69" spans="2:11" x14ac:dyDescent="0.3">
      <c r="C69" s="359" t="s">
        <v>7</v>
      </c>
      <c r="D69" s="64">
        <v>3</v>
      </c>
      <c r="E69" s="64">
        <v>1</v>
      </c>
      <c r="F69" s="64">
        <v>1</v>
      </c>
      <c r="G69" s="360">
        <v>1</v>
      </c>
      <c r="H69" s="1">
        <v>30</v>
      </c>
    </row>
    <row r="70" spans="2:11" x14ac:dyDescent="0.3">
      <c r="B70" s="365">
        <v>45658</v>
      </c>
      <c r="C70" s="361">
        <f>F50+H50</f>
        <v>136803.71623668689</v>
      </c>
      <c r="D70" s="6">
        <f>C70*$D$69</f>
        <v>410411.14871006063</v>
      </c>
      <c r="E70" s="67">
        <f>C71</f>
        <v>153056.91620394689</v>
      </c>
      <c r="F70" s="68">
        <f t="shared" ref="F70:F79" si="25">C72</f>
        <v>153102.29589479265</v>
      </c>
      <c r="G70" s="362">
        <f t="shared" ref="G70:G78" si="26">C73</f>
        <v>167883.79066124267</v>
      </c>
      <c r="H70" s="6">
        <f>C70/$H$69</f>
        <v>4560.1238745562296</v>
      </c>
      <c r="I70" s="6"/>
      <c r="J70" s="6"/>
      <c r="K70" s="6"/>
    </row>
    <row r="71" spans="2:11" x14ac:dyDescent="0.3">
      <c r="B71" s="366">
        <v>45689</v>
      </c>
      <c r="C71" s="166">
        <f>F51+H51</f>
        <v>153056.91620394689</v>
      </c>
      <c r="D71" s="6">
        <f t="shared" ref="D71:D81" si="27">C71*$D$69</f>
        <v>459170.74861184065</v>
      </c>
      <c r="E71" s="68">
        <f t="shared" ref="E71:E80" si="28">C72</f>
        <v>153102.29589479265</v>
      </c>
      <c r="F71" s="363">
        <f t="shared" si="25"/>
        <v>167883.79066124267</v>
      </c>
      <c r="G71" s="168">
        <f t="shared" si="26"/>
        <v>168949.71425630088</v>
      </c>
      <c r="H71" s="6">
        <f t="shared" ref="H71:H81" si="29">C71/$H$69</f>
        <v>5101.8972067982295</v>
      </c>
      <c r="I71" s="6"/>
      <c r="J71" s="6"/>
      <c r="K71" s="6"/>
    </row>
    <row r="72" spans="2:11" x14ac:dyDescent="0.3">
      <c r="B72" s="366">
        <v>45717</v>
      </c>
      <c r="C72" s="169">
        <f t="shared" ref="C72:C81" si="30">F52+H52</f>
        <v>153102.29589479265</v>
      </c>
      <c r="D72" s="6">
        <f t="shared" si="27"/>
        <v>459306.88768437796</v>
      </c>
      <c r="E72" s="363">
        <f t="shared" si="28"/>
        <v>167883.79066124267</v>
      </c>
      <c r="F72" s="62">
        <f t="shared" si="25"/>
        <v>168949.71425630088</v>
      </c>
      <c r="G72" s="170">
        <f t="shared" si="26"/>
        <v>172422.64791803609</v>
      </c>
      <c r="H72" s="6">
        <f t="shared" si="29"/>
        <v>5103.4098631597553</v>
      </c>
      <c r="I72" s="6"/>
      <c r="J72" s="6"/>
      <c r="K72" s="6"/>
    </row>
    <row r="73" spans="2:11" x14ac:dyDescent="0.3">
      <c r="B73" s="366">
        <v>45748</v>
      </c>
      <c r="C73" s="364">
        <f t="shared" si="30"/>
        <v>167883.79066124267</v>
      </c>
      <c r="D73" s="6">
        <f t="shared" si="27"/>
        <v>503651.37198372802</v>
      </c>
      <c r="E73" s="62">
        <f t="shared" si="28"/>
        <v>168949.71425630088</v>
      </c>
      <c r="F73" s="57">
        <f t="shared" si="25"/>
        <v>172422.64791803609</v>
      </c>
      <c r="G73" s="172">
        <f t="shared" si="26"/>
        <v>185000.87312089629</v>
      </c>
      <c r="H73" s="6">
        <f t="shared" si="29"/>
        <v>5596.1263553747558</v>
      </c>
      <c r="I73" s="6"/>
      <c r="J73" s="6"/>
      <c r="K73" s="6"/>
    </row>
    <row r="74" spans="2:11" x14ac:dyDescent="0.3">
      <c r="B74" s="366">
        <v>45778</v>
      </c>
      <c r="C74" s="173">
        <f t="shared" si="30"/>
        <v>168949.71425630088</v>
      </c>
      <c r="D74" s="6">
        <f t="shared" si="27"/>
        <v>506849.14276890265</v>
      </c>
      <c r="E74" s="70">
        <f t="shared" si="28"/>
        <v>172422.64791803609</v>
      </c>
      <c r="F74" s="69">
        <f t="shared" si="25"/>
        <v>185000.87312089629</v>
      </c>
      <c r="G74" s="174">
        <f t="shared" si="26"/>
        <v>191375.64470582831</v>
      </c>
      <c r="H74" s="6">
        <f t="shared" si="29"/>
        <v>5631.6571418766962</v>
      </c>
      <c r="I74" s="6"/>
      <c r="J74" s="6"/>
      <c r="K74" s="6"/>
    </row>
    <row r="75" spans="2:11" x14ac:dyDescent="0.3">
      <c r="B75" s="366">
        <v>45809</v>
      </c>
      <c r="C75" s="175">
        <f t="shared" si="30"/>
        <v>172422.64791803609</v>
      </c>
      <c r="D75" s="6">
        <f t="shared" si="27"/>
        <v>517267.94375410827</v>
      </c>
      <c r="E75" s="69">
        <f t="shared" si="28"/>
        <v>185000.87312089629</v>
      </c>
      <c r="F75" s="71">
        <f t="shared" si="25"/>
        <v>191375.64470582831</v>
      </c>
      <c r="G75" s="176">
        <f t="shared" si="26"/>
        <v>199529.48250890168</v>
      </c>
      <c r="H75" s="6">
        <f t="shared" si="29"/>
        <v>5747.4215972678694</v>
      </c>
      <c r="I75" s="6"/>
      <c r="J75" s="6"/>
      <c r="K75" s="6"/>
    </row>
    <row r="76" spans="2:11" x14ac:dyDescent="0.3">
      <c r="B76" s="366">
        <v>45839</v>
      </c>
      <c r="C76" s="177">
        <f t="shared" si="30"/>
        <v>185000.87312089629</v>
      </c>
      <c r="D76" s="6">
        <f t="shared" si="27"/>
        <v>555002.61936268886</v>
      </c>
      <c r="E76" s="71">
        <f t="shared" si="28"/>
        <v>191375.64470582831</v>
      </c>
      <c r="F76" s="72">
        <f t="shared" si="25"/>
        <v>199529.48250890168</v>
      </c>
      <c r="G76" s="178">
        <f t="shared" si="26"/>
        <v>210710.72216881308</v>
      </c>
      <c r="H76" s="6">
        <f t="shared" si="29"/>
        <v>6166.6957706965431</v>
      </c>
      <c r="I76" s="6"/>
      <c r="J76" s="6"/>
      <c r="K76" s="6"/>
    </row>
    <row r="77" spans="2:11" x14ac:dyDescent="0.3">
      <c r="B77" s="366">
        <v>45870</v>
      </c>
      <c r="C77" s="179">
        <f t="shared" si="30"/>
        <v>191375.64470582831</v>
      </c>
      <c r="D77" s="6">
        <f t="shared" si="27"/>
        <v>574126.93411748495</v>
      </c>
      <c r="E77" s="72">
        <f t="shared" si="28"/>
        <v>199529.48250890168</v>
      </c>
      <c r="F77" s="76">
        <f t="shared" si="25"/>
        <v>210710.72216881308</v>
      </c>
      <c r="G77" s="180">
        <f t="shared" si="26"/>
        <v>160859.1728058444</v>
      </c>
      <c r="H77" s="6">
        <f t="shared" si="29"/>
        <v>6379.1881568609433</v>
      </c>
      <c r="I77" s="6"/>
      <c r="J77" s="6"/>
      <c r="K77" s="6"/>
    </row>
    <row r="78" spans="2:11" x14ac:dyDescent="0.3">
      <c r="B78" s="366">
        <v>45901</v>
      </c>
      <c r="C78" s="181">
        <f t="shared" si="30"/>
        <v>199529.48250890168</v>
      </c>
      <c r="D78" s="6">
        <f t="shared" si="27"/>
        <v>598588.44752670499</v>
      </c>
      <c r="E78" s="76">
        <f t="shared" si="28"/>
        <v>210710.72216881308</v>
      </c>
      <c r="F78" s="73">
        <f t="shared" si="25"/>
        <v>160859.1728058444</v>
      </c>
      <c r="G78" s="182">
        <f t="shared" si="26"/>
        <v>79325.334281218966</v>
      </c>
      <c r="H78" s="6">
        <f t="shared" si="29"/>
        <v>6650.9827502967228</v>
      </c>
      <c r="I78" s="6"/>
      <c r="J78" s="6"/>
      <c r="K78" s="6"/>
    </row>
    <row r="79" spans="2:11" x14ac:dyDescent="0.3">
      <c r="B79" s="366">
        <v>45931</v>
      </c>
      <c r="C79" s="183">
        <f t="shared" si="30"/>
        <v>210710.72216881308</v>
      </c>
      <c r="D79" s="6">
        <f t="shared" si="27"/>
        <v>632132.16650643921</v>
      </c>
      <c r="E79" s="73">
        <f t="shared" si="28"/>
        <v>160859.1728058444</v>
      </c>
      <c r="F79" s="74">
        <f t="shared" si="25"/>
        <v>79325.334281218966</v>
      </c>
      <c r="G79" s="184">
        <f>C70</f>
        <v>136803.71623668689</v>
      </c>
      <c r="H79" s="6">
        <f t="shared" si="29"/>
        <v>7023.6907389604357</v>
      </c>
      <c r="I79" s="6"/>
      <c r="J79" s="6"/>
      <c r="K79" s="6"/>
    </row>
    <row r="80" spans="2:11" x14ac:dyDescent="0.3">
      <c r="B80" s="366">
        <v>45962</v>
      </c>
      <c r="C80" s="185">
        <f t="shared" si="30"/>
        <v>160859.1728058444</v>
      </c>
      <c r="D80" s="6">
        <f t="shared" si="27"/>
        <v>482577.5184175332</v>
      </c>
      <c r="E80" s="74">
        <f t="shared" si="28"/>
        <v>79325.334281218966</v>
      </c>
      <c r="F80" s="75">
        <f>C70</f>
        <v>136803.71623668689</v>
      </c>
      <c r="G80" s="186">
        <f>C71</f>
        <v>153056.91620394689</v>
      </c>
      <c r="H80" s="6">
        <f t="shared" si="29"/>
        <v>5361.97242686148</v>
      </c>
      <c r="I80" s="6"/>
      <c r="J80" s="6"/>
      <c r="K80" s="6"/>
    </row>
    <row r="81" spans="2:11" x14ac:dyDescent="0.3">
      <c r="B81" s="367">
        <v>45992</v>
      </c>
      <c r="C81" s="187">
        <f t="shared" si="30"/>
        <v>79325.334281218966</v>
      </c>
      <c r="D81" s="9">
        <f t="shared" si="27"/>
        <v>237976.0028436569</v>
      </c>
      <c r="E81" s="188">
        <f>C70</f>
        <v>136803.71623668689</v>
      </c>
      <c r="F81" s="189">
        <f>C71</f>
        <v>153056.91620394689</v>
      </c>
      <c r="G81" s="190">
        <f>C72</f>
        <v>153102.29589479265</v>
      </c>
      <c r="H81" s="6">
        <f t="shared" si="29"/>
        <v>2644.1778093739654</v>
      </c>
      <c r="I81" s="6"/>
      <c r="J81" s="6"/>
      <c r="K81" s="6"/>
    </row>
    <row r="82" spans="2:11" x14ac:dyDescent="0.3">
      <c r="H82" s="387">
        <f>SUM(H70:H81)</f>
        <v>65967.343692083639</v>
      </c>
    </row>
    <row r="83" spans="2:11" x14ac:dyDescent="0.3">
      <c r="H83" s="6"/>
    </row>
  </sheetData>
  <mergeCells count="22">
    <mergeCell ref="C67:G67"/>
    <mergeCell ref="C3:J3"/>
    <mergeCell ref="E6:F6"/>
    <mergeCell ref="G6:H6"/>
    <mergeCell ref="I6:J6"/>
    <mergeCell ref="G5:H5"/>
    <mergeCell ref="I5:J5"/>
    <mergeCell ref="E5:F5"/>
    <mergeCell ref="C25:J25"/>
    <mergeCell ref="E27:F27"/>
    <mergeCell ref="G27:H27"/>
    <mergeCell ref="I27:J27"/>
    <mergeCell ref="E28:F28"/>
    <mergeCell ref="G28:H28"/>
    <mergeCell ref="I28:J28"/>
    <mergeCell ref="C46:J46"/>
    <mergeCell ref="E48:F48"/>
    <mergeCell ref="G48:H48"/>
    <mergeCell ref="I48:J48"/>
    <mergeCell ref="E49:F49"/>
    <mergeCell ref="G49:H49"/>
    <mergeCell ref="I49:J49"/>
  </mergeCells>
  <conditionalFormatting sqref="C7:C18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{595AFFF8-9689-7C43-B426-ACCDB0601629}</x14:id>
        </ext>
      </extLst>
    </cfRule>
    <cfRule type="cellIs" dxfId="31" priority="24" operator="greaterThan">
      <formula>2000000</formula>
    </cfRule>
  </conditionalFormatting>
  <conditionalFormatting sqref="C19">
    <cfRule type="cellIs" dxfId="30" priority="25" operator="greaterThan">
      <formula>$D$99</formula>
    </cfRule>
  </conditionalFormatting>
  <conditionalFormatting sqref="C29:C40">
    <cfRule type="cellIs" dxfId="29" priority="9" operator="greaterThan">
      <formula>2000000</formula>
    </cfRule>
  </conditionalFormatting>
  <conditionalFormatting sqref="C41">
    <cfRule type="cellIs" dxfId="28" priority="10" operator="greaterThan">
      <formula>$D$99</formula>
    </cfRule>
  </conditionalFormatting>
  <conditionalFormatting sqref="C50:C62">
    <cfRule type="cellIs" dxfId="27" priority="2" operator="greaterThan">
      <formula>4000000</formula>
    </cfRule>
  </conditionalFormatting>
  <conditionalFormatting sqref="D7:D18">
    <cfRule type="dataBar" priority="2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{DDECF65B-0DB1-C84C-8E4A-346AFEE6E070}</x14:id>
        </ext>
      </extLst>
    </cfRule>
  </conditionalFormatting>
  <conditionalFormatting sqref="D29:D40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{9F4A938A-E1B3-5842-8044-6AC2233A340A}</x14:id>
        </ext>
      </extLst>
    </cfRule>
  </conditionalFormatting>
  <conditionalFormatting sqref="D50:D62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{ECF22EAA-7E21-594C-914C-66AC0F3492A5}</x14:id>
        </ext>
      </extLst>
    </cfRule>
  </conditionalFormatting>
  <conditionalFormatting sqref="G19:K19">
    <cfRule type="cellIs" dxfId="26" priority="26" operator="greaterThan">
      <formula>$D$99</formula>
    </cfRule>
  </conditionalFormatting>
  <conditionalFormatting sqref="G41:K41">
    <cfRule type="cellIs" dxfId="25" priority="11" operator="greaterThan">
      <formula>$D$99</formula>
    </cfRule>
  </conditionalFormatting>
  <conditionalFormatting sqref="G62:K62">
    <cfRule type="cellIs" dxfId="24" priority="7" operator="greaterThan">
      <formula>$D$99</formula>
    </cfRule>
  </conditionalFormatting>
  <pageMargins left="0" right="0" top="0.25" bottom="0" header="0.3" footer="0.3"/>
  <pageSetup paperSize="9" scale="52" orientation="portrait" horizontalDpi="0" verticalDpi="0"/>
  <ignoredErrors>
    <ignoredError sqref="E30:I40 E29:G29 G7:G18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95AFFF8-9689-7C43-B426-ACCDB060162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C7:C18</xm:sqref>
        </x14:conditionalFormatting>
        <x14:conditionalFormatting xmlns:xm="http://schemas.microsoft.com/office/excel/2006/main">
          <x14:cfRule type="dataBar" id="{DDECF65B-0DB1-C84C-8E4A-346AFEE6E07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D7:D18</xm:sqref>
        </x14:conditionalFormatting>
        <x14:conditionalFormatting xmlns:xm="http://schemas.microsoft.com/office/excel/2006/main">
          <x14:cfRule type="dataBar" id="{9F4A938A-E1B3-5842-8044-6AC2233A340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D29:D40</xm:sqref>
        </x14:conditionalFormatting>
        <x14:conditionalFormatting xmlns:xm="http://schemas.microsoft.com/office/excel/2006/main">
          <x14:cfRule type="dataBar" id="{ECF22EAA-7E21-594C-914C-66AC0F3492A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D50:D62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EE3F1-1DBF-2142-B718-04A5663DF22B}">
  <sheetPr>
    <tabColor rgb="FF00FDFF"/>
    <pageSetUpPr fitToPage="1"/>
  </sheetPr>
  <dimension ref="A1:N63"/>
  <sheetViews>
    <sheetView zoomScale="70" zoomScaleNormal="70" workbookViewId="0">
      <selection activeCell="L24" sqref="L24"/>
    </sheetView>
  </sheetViews>
  <sheetFormatPr defaultColWidth="11.19921875" defaultRowHeight="15.6" x14ac:dyDescent="0.3"/>
  <cols>
    <col min="3" max="10" width="16.5" customWidth="1"/>
    <col min="11" max="11" width="16.5" style="1" customWidth="1"/>
    <col min="12" max="14" width="16.5" customWidth="1"/>
  </cols>
  <sheetData>
    <row r="1" spans="1:14" ht="21" x14ac:dyDescent="0.4">
      <c r="C1" s="448" t="s">
        <v>30</v>
      </c>
      <c r="D1" s="449"/>
      <c r="E1" s="449"/>
      <c r="F1" s="449"/>
      <c r="G1" s="449"/>
      <c r="H1" s="449"/>
      <c r="I1" s="449"/>
      <c r="J1" s="450"/>
    </row>
    <row r="2" spans="1:14" x14ac:dyDescent="0.3">
      <c r="C2" s="212">
        <f>C18</f>
        <v>813914.09849999985</v>
      </c>
      <c r="D2" s="53"/>
      <c r="E2" s="53"/>
      <c r="F2" s="53"/>
      <c r="G2" s="53"/>
      <c r="H2" s="53"/>
      <c r="I2" s="53"/>
      <c r="J2" s="54"/>
    </row>
    <row r="3" spans="1:14" x14ac:dyDescent="0.3">
      <c r="C3" s="228"/>
      <c r="D3" s="229"/>
      <c r="E3" s="219"/>
      <c r="F3" s="219"/>
      <c r="G3" s="219"/>
      <c r="H3" s="219"/>
      <c r="I3" s="290"/>
      <c r="J3" s="221"/>
      <c r="M3" t="s">
        <v>6</v>
      </c>
    </row>
    <row r="4" spans="1:14" s="14" customFormat="1" x14ac:dyDescent="0.3">
      <c r="B4" s="63"/>
      <c r="C4" s="298" t="s">
        <v>31</v>
      </c>
      <c r="D4" s="123" t="s">
        <v>32</v>
      </c>
      <c r="E4" s="299" t="s">
        <v>70</v>
      </c>
      <c r="F4" s="300" t="s">
        <v>34</v>
      </c>
      <c r="G4" s="301" t="s">
        <v>8</v>
      </c>
      <c r="H4" s="300" t="s">
        <v>34</v>
      </c>
      <c r="I4" s="302" t="s">
        <v>33</v>
      </c>
      <c r="J4" s="303" t="s">
        <v>34</v>
      </c>
      <c r="K4" s="48"/>
      <c r="M4" s="398">
        <v>0.2</v>
      </c>
    </row>
    <row r="5" spans="1:14" x14ac:dyDescent="0.3">
      <c r="A5" s="25"/>
      <c r="B5" s="283">
        <v>46023</v>
      </c>
      <c r="C5" s="200" cm="1">
        <f t="array" ref="C5:C16">DISTRIBUIÇÃO!D7:D18</f>
        <v>57241.072583268979</v>
      </c>
      <c r="D5" s="200">
        <v>18</v>
      </c>
      <c r="E5" s="193">
        <f>DISTRIBUIÇÃO!F7+DISTRIBUIÇÃO!H7-PROD.INDUSTRIA!M5</f>
        <v>50930.05444803281</v>
      </c>
      <c r="F5" s="210">
        <f>E5/D5</f>
        <v>2829.4474693351563</v>
      </c>
      <c r="G5" s="194">
        <f>DISTRIBUIÇÃO!J7</f>
        <v>4770.0893819390812</v>
      </c>
      <c r="H5" s="210">
        <f>G5/D5</f>
        <v>265.00496566328229</v>
      </c>
      <c r="I5" s="205">
        <f>E5+G5</f>
        <v>55700.143829971894</v>
      </c>
      <c r="J5" s="213">
        <f>I5/D5</f>
        <v>3094.4524349984385</v>
      </c>
      <c r="K5" s="206"/>
      <c r="L5" s="356"/>
      <c r="M5" s="206">
        <f>DISTRIBUIÇÃO!F7*PROD.INDUSTRIA!$M$4</f>
        <v>1546.6827815020813</v>
      </c>
      <c r="N5" s="206"/>
    </row>
    <row r="6" spans="1:14" x14ac:dyDescent="0.3">
      <c r="A6" s="25"/>
      <c r="B6" s="284">
        <v>46054</v>
      </c>
      <c r="C6" s="201">
        <v>70128.682492367545</v>
      </c>
      <c r="D6" s="201">
        <v>20</v>
      </c>
      <c r="E6" s="195">
        <f>DISTRIBUIÇÃO!F8+DISTRIBUIÇÃO!H8-PROD.INDUSTRIA!M6</f>
        <v>62396.762613233179</v>
      </c>
      <c r="F6" s="206">
        <f t="shared" ref="F6:F16" si="0">E6/D6</f>
        <v>3119.8381306616589</v>
      </c>
      <c r="G6" s="208">
        <f>DISTRIBUIÇÃO!J8</f>
        <v>5844.0568743639633</v>
      </c>
      <c r="H6" s="206">
        <f t="shared" ref="H6:H16" si="1">G6/D6</f>
        <v>292.20284371819815</v>
      </c>
      <c r="I6" s="209">
        <f t="shared" ref="I6:I16" si="2">E6+G6</f>
        <v>68240.819487597139</v>
      </c>
      <c r="J6" s="214">
        <f t="shared" ref="J6:J16" si="3">I6/D6</f>
        <v>3412.0409743798568</v>
      </c>
      <c r="K6" s="206"/>
      <c r="L6" s="206"/>
      <c r="M6" s="206">
        <f>DISTRIBUIÇÃO!F8*PROD.INDUSTRIA!$M$4</f>
        <v>1894.9125305537193</v>
      </c>
      <c r="N6" s="206"/>
    </row>
    <row r="7" spans="1:14" x14ac:dyDescent="0.3">
      <c r="A7" s="25"/>
      <c r="B7" s="284">
        <v>46082</v>
      </c>
      <c r="C7" s="201">
        <v>65336.972652587938</v>
      </c>
      <c r="D7" s="201">
        <v>22</v>
      </c>
      <c r="E7" s="195">
        <f>DISTRIBUIÇÃO!F9+DISTRIBUIÇÃO!H9-PROD.INDUSTRIA!M7</f>
        <v>58133.354678587282</v>
      </c>
      <c r="F7" s="206">
        <f t="shared" si="0"/>
        <v>2642.4252126630581</v>
      </c>
      <c r="G7" s="208">
        <f>DISTRIBUIÇÃO!J9</f>
        <v>5444.7477210489951</v>
      </c>
      <c r="H7" s="206">
        <f t="shared" si="1"/>
        <v>247.48853277495434</v>
      </c>
      <c r="I7" s="209">
        <f t="shared" si="2"/>
        <v>63578.102399636278</v>
      </c>
      <c r="J7" s="214">
        <f t="shared" si="3"/>
        <v>2889.9137454380125</v>
      </c>
      <c r="K7" s="206"/>
      <c r="L7" s="206"/>
      <c r="M7" s="206">
        <f>DISTRIBUIÇÃO!F9*PROD.INDUSTRIA!$M$4</f>
        <v>1765.4381030373581</v>
      </c>
      <c r="N7" s="206"/>
    </row>
    <row r="8" spans="1:14" x14ac:dyDescent="0.3">
      <c r="A8" s="25"/>
      <c r="B8" s="284">
        <v>46113</v>
      </c>
      <c r="C8" s="201">
        <v>62230.111476125821</v>
      </c>
      <c r="D8" s="201">
        <v>21</v>
      </c>
      <c r="E8" s="195">
        <f>DISTRIBUIÇÃO!F10+DISTRIBUIÇÃO!H10-PROD.INDUSTRIA!M8</f>
        <v>55369.035253064423</v>
      </c>
      <c r="F8" s="206">
        <f t="shared" si="0"/>
        <v>2636.6207263364013</v>
      </c>
      <c r="G8" s="208">
        <f>DISTRIBUIÇÃO!J10</f>
        <v>5185.842623010486</v>
      </c>
      <c r="H8" s="206">
        <f t="shared" si="1"/>
        <v>246.94488681002315</v>
      </c>
      <c r="I8" s="209">
        <f t="shared" si="2"/>
        <v>60554.877876074912</v>
      </c>
      <c r="J8" s="214">
        <f t="shared" si="3"/>
        <v>2883.5656131464243</v>
      </c>
      <c r="K8" s="206"/>
      <c r="L8" s="206"/>
      <c r="M8" s="206">
        <f>DISTRIBUIÇÃO!F10*PROD.INDUSTRIA!$M$4</f>
        <v>1681.489140006295</v>
      </c>
      <c r="N8" s="206"/>
    </row>
    <row r="9" spans="1:14" x14ac:dyDescent="0.3">
      <c r="A9" s="25"/>
      <c r="B9" s="284">
        <v>46143</v>
      </c>
      <c r="C9" s="201">
        <v>56937.863674869273</v>
      </c>
      <c r="D9" s="201">
        <v>19</v>
      </c>
      <c r="E9" s="195">
        <f>DISTRIBUIÇÃO!F11+DISTRIBUIÇÃO!H11-PROD.INDUSTRIA!M9</f>
        <v>50660.275327603827</v>
      </c>
      <c r="F9" s="206">
        <f t="shared" si="0"/>
        <v>2666.3302804002014</v>
      </c>
      <c r="G9" s="208">
        <f>DISTRIBUIÇÃO!J11</f>
        <v>4744.8219729057728</v>
      </c>
      <c r="H9" s="206">
        <f t="shared" si="1"/>
        <v>249.72747225819856</v>
      </c>
      <c r="I9" s="209">
        <f t="shared" si="2"/>
        <v>55405.097300509602</v>
      </c>
      <c r="J9" s="214">
        <f t="shared" si="3"/>
        <v>2916.0577526584002</v>
      </c>
      <c r="K9" s="206"/>
      <c r="L9" s="206"/>
      <c r="M9" s="206">
        <f>DISTRIBUIÇÃO!F11*PROD.INDUSTRIA!$M$4</f>
        <v>1538.4899231810275</v>
      </c>
      <c r="N9" s="206"/>
    </row>
    <row r="10" spans="1:14" x14ac:dyDescent="0.3">
      <c r="A10" s="25"/>
      <c r="B10" s="284">
        <v>46174</v>
      </c>
      <c r="C10" s="201">
        <v>59784.756858612738</v>
      </c>
      <c r="D10" s="201">
        <v>22</v>
      </c>
      <c r="E10" s="195">
        <f>DISTRIBUIÇÃO!F12+DISTRIBUIÇÃO!H12-PROD.INDUSTRIA!M10</f>
        <v>53193.289093984022</v>
      </c>
      <c r="F10" s="206">
        <f t="shared" si="0"/>
        <v>2417.8767769992737</v>
      </c>
      <c r="G10" s="208">
        <f>DISTRIBUIÇÃO!J12</f>
        <v>4982.0630715510615</v>
      </c>
      <c r="H10" s="206">
        <f t="shared" si="1"/>
        <v>226.45741234323006</v>
      </c>
      <c r="I10" s="209">
        <f t="shared" si="2"/>
        <v>58175.352165535085</v>
      </c>
      <c r="J10" s="214">
        <f t="shared" si="3"/>
        <v>2644.334189342504</v>
      </c>
      <c r="K10" s="206"/>
      <c r="L10" s="206"/>
      <c r="M10" s="206">
        <f>DISTRIBUIÇÃO!F12*PROD.INDUSTRIA!$M$4</f>
        <v>1615.4144193400789</v>
      </c>
      <c r="N10" s="206"/>
    </row>
    <row r="11" spans="1:14" x14ac:dyDescent="0.3">
      <c r="A11" s="25"/>
      <c r="B11" s="284">
        <v>46204</v>
      </c>
      <c r="C11" s="201">
        <v>73370.474465053354</v>
      </c>
      <c r="D11" s="201">
        <v>22</v>
      </c>
      <c r="E11" s="195">
        <f>DISTRIBUIÇÃO!F13+DISTRIBUIÇÃO!H13-PROD.INDUSTRIA!M11</f>
        <v>65281.136267096939</v>
      </c>
      <c r="F11" s="206">
        <f t="shared" si="0"/>
        <v>2967.3243757771338</v>
      </c>
      <c r="G11" s="208">
        <f>DISTRIBUIÇÃO!J13</f>
        <v>6114.2062054211128</v>
      </c>
      <c r="H11" s="206">
        <f t="shared" si="1"/>
        <v>277.91846388277787</v>
      </c>
      <c r="I11" s="209">
        <f t="shared" si="2"/>
        <v>71395.342472518052</v>
      </c>
      <c r="J11" s="214">
        <f t="shared" si="3"/>
        <v>3245.2428396599116</v>
      </c>
      <c r="K11" s="206"/>
      <c r="M11" s="206">
        <f>DISTRIBUIÇÃO!F13*PROD.INDUSTRIA!$M$4</f>
        <v>1982.5073920593427</v>
      </c>
      <c r="N11" s="206"/>
    </row>
    <row r="12" spans="1:14" x14ac:dyDescent="0.3">
      <c r="A12" s="25"/>
      <c r="B12" s="284">
        <v>46235</v>
      </c>
      <c r="C12" s="201">
        <v>75079.364550759128</v>
      </c>
      <c r="D12" s="201">
        <v>22</v>
      </c>
      <c r="E12" s="195">
        <f>DISTRIBUIÇÃO!F14+DISTRIBUIÇÃO!H14-PROD.INDUSTRIA!M12</f>
        <v>66801.615552038522</v>
      </c>
      <c r="F12" s="206">
        <f t="shared" si="0"/>
        <v>3036.4370705472056</v>
      </c>
      <c r="G12" s="208">
        <f>DISTRIBUIÇÃO!J14</f>
        <v>6256.6137125632604</v>
      </c>
      <c r="H12" s="206">
        <f t="shared" si="1"/>
        <v>284.3915323892391</v>
      </c>
      <c r="I12" s="209">
        <f t="shared" si="2"/>
        <v>73058.229264601789</v>
      </c>
      <c r="J12" s="214">
        <f t="shared" si="3"/>
        <v>3320.8286029364449</v>
      </c>
      <c r="K12" s="206"/>
      <c r="L12" s="206"/>
      <c r="M12" s="206">
        <f>DISTRIBUIÇÃO!F14*PROD.INDUSTRIA!$M$4</f>
        <v>2028.6824679577862</v>
      </c>
      <c r="N12" s="206"/>
    </row>
    <row r="13" spans="1:14" x14ac:dyDescent="0.3">
      <c r="A13" s="25"/>
      <c r="B13" s="284">
        <v>46266</v>
      </c>
      <c r="C13" s="201">
        <v>92176.6455870707</v>
      </c>
      <c r="D13" s="201">
        <v>20</v>
      </c>
      <c r="E13" s="195">
        <f>DISTRIBUIÇÃO!F15+DISTRIBUIÇÃO!H15-PROD.INDUSTRIA!M13</f>
        <v>82013.864638146362</v>
      </c>
      <c r="F13" s="206">
        <f t="shared" si="0"/>
        <v>4100.6932319073185</v>
      </c>
      <c r="G13" s="208">
        <f>DISTRIBUIÇÃO!J15</f>
        <v>7681.3871322558916</v>
      </c>
      <c r="H13" s="206">
        <f t="shared" si="1"/>
        <v>384.06935661279459</v>
      </c>
      <c r="I13" s="209">
        <f t="shared" si="2"/>
        <v>89695.251770402247</v>
      </c>
      <c r="J13" s="214">
        <f t="shared" si="3"/>
        <v>4484.7625885201123</v>
      </c>
      <c r="K13" s="206"/>
      <c r="L13" s="206"/>
      <c r="M13" s="206">
        <f>DISTRIBUIÇÃO!F15*PROD.INDUSTRIA!$M$4</f>
        <v>2490.6596636313434</v>
      </c>
      <c r="N13" s="206"/>
    </row>
    <row r="14" spans="1:14" x14ac:dyDescent="0.3">
      <c r="A14" s="25"/>
      <c r="B14" s="284">
        <v>46296</v>
      </c>
      <c r="C14" s="201">
        <v>97380.165902470035</v>
      </c>
      <c r="D14" s="201">
        <v>20</v>
      </c>
      <c r="E14" s="195">
        <f>DISTRIBUIÇÃO!F16+DISTRIBUIÇÃO!H16-PROD.INDUSTRIA!M14</f>
        <v>86643.679577396746</v>
      </c>
      <c r="F14" s="206">
        <f t="shared" si="0"/>
        <v>4332.1839788698371</v>
      </c>
      <c r="G14" s="208">
        <f>DISTRIBUIÇÃO!J16</f>
        <v>8115.0138252058359</v>
      </c>
      <c r="H14" s="206">
        <f t="shared" si="1"/>
        <v>405.75069126029177</v>
      </c>
      <c r="I14" s="209">
        <f t="shared" si="2"/>
        <v>94758.693402602585</v>
      </c>
      <c r="J14" s="214">
        <f t="shared" si="3"/>
        <v>4737.9346701301292</v>
      </c>
      <c r="K14" s="206"/>
      <c r="L14" s="206"/>
      <c r="M14" s="206">
        <f>DISTRIBUIÇÃO!F16*PROD.INDUSTRIA!$M$4</f>
        <v>2631.2614188363436</v>
      </c>
      <c r="N14" s="206"/>
    </row>
    <row r="15" spans="1:14" x14ac:dyDescent="0.3">
      <c r="A15" s="25"/>
      <c r="B15" s="284">
        <v>46327</v>
      </c>
      <c r="C15" s="201">
        <v>74336.004505702076</v>
      </c>
      <c r="D15" s="201">
        <v>20</v>
      </c>
      <c r="E15" s="195">
        <f>DISTRIBUIÇÃO!F17+DISTRIBUIÇÃO!H17-PROD.INDUSTRIA!M15</f>
        <v>66140.213417859894</v>
      </c>
      <c r="F15" s="206">
        <f t="shared" si="0"/>
        <v>3307.0106708929948</v>
      </c>
      <c r="G15" s="208">
        <f>DISTRIBUIÇÃO!J17</f>
        <v>6194.6670421418394</v>
      </c>
      <c r="H15" s="206">
        <f t="shared" si="1"/>
        <v>309.73335210709195</v>
      </c>
      <c r="I15" s="209">
        <f t="shared" si="2"/>
        <v>72334.880460001732</v>
      </c>
      <c r="J15" s="214">
        <f t="shared" si="3"/>
        <v>3616.7440230000866</v>
      </c>
      <c r="K15" s="206"/>
      <c r="L15" s="206"/>
      <c r="M15" s="206">
        <f>DISTRIBUIÇÃO!F17*PROD.INDUSTRIA!$M$4</f>
        <v>2008.5965029284998</v>
      </c>
      <c r="N15" s="206"/>
    </row>
    <row r="16" spans="1:14" x14ac:dyDescent="0.3">
      <c r="A16" s="25"/>
      <c r="B16" s="284">
        <v>46357</v>
      </c>
      <c r="C16" s="201">
        <v>29911.983751112199</v>
      </c>
      <c r="D16" s="201">
        <v>12</v>
      </c>
      <c r="E16" s="195">
        <f>DISTRIBUIÇÃO!F18+DISTRIBUIÇÃO!H18-PROD.INDUSTRIA!M16</f>
        <v>26614.088317033002</v>
      </c>
      <c r="F16" s="206">
        <f t="shared" si="0"/>
        <v>2217.8406930860833</v>
      </c>
      <c r="G16" s="208">
        <f>DISTRIBUIÇÃO!J18</f>
        <v>2492.6653125926837</v>
      </c>
      <c r="H16" s="206">
        <f t="shared" si="1"/>
        <v>207.72210938272363</v>
      </c>
      <c r="I16" s="209">
        <f t="shared" si="2"/>
        <v>29106.753629625684</v>
      </c>
      <c r="J16" s="214">
        <f t="shared" si="3"/>
        <v>2425.5628024688071</v>
      </c>
      <c r="K16" s="206"/>
      <c r="L16" s="206"/>
      <c r="M16" s="206">
        <f>DISTRIBUIÇÃO!F18*PROD.INDUSTRIA!$M$4</f>
        <v>808.2369553979654</v>
      </c>
      <c r="N16" s="206"/>
    </row>
    <row r="17" spans="1:14" x14ac:dyDescent="0.3">
      <c r="A17" s="25"/>
      <c r="B17" s="7"/>
      <c r="C17" s="203"/>
      <c r="D17" s="203"/>
      <c r="E17" s="196"/>
      <c r="F17" s="197"/>
      <c r="G17" s="197"/>
      <c r="H17" s="197"/>
      <c r="I17" s="197"/>
      <c r="J17" s="207"/>
      <c r="K17" s="206"/>
      <c r="L17" s="206"/>
      <c r="M17" s="206"/>
      <c r="N17" s="206"/>
    </row>
    <row r="18" spans="1:14" s="14" customFormat="1" x14ac:dyDescent="0.3">
      <c r="B18" s="226"/>
      <c r="C18" s="328">
        <f>SUM(C5:C17)</f>
        <v>813914.09849999985</v>
      </c>
      <c r="D18" s="204">
        <f t="shared" ref="D18" si="4">SUM(D5:D17)</f>
        <v>238</v>
      </c>
      <c r="E18" s="292">
        <f t="shared" ref="E18:G18" si="5">SUM(E5:E16)</f>
        <v>724177.3691840769</v>
      </c>
      <c r="F18" s="218"/>
      <c r="G18" s="291">
        <f t="shared" si="5"/>
        <v>67826.174874999982</v>
      </c>
      <c r="H18" s="218"/>
      <c r="I18" s="293">
        <f>SUM(I5:I16)</f>
        <v>792003.54405907693</v>
      </c>
      <c r="J18" s="218"/>
      <c r="K18" s="218"/>
      <c r="L18" s="218"/>
      <c r="M18" s="453"/>
      <c r="N18" s="453"/>
    </row>
    <row r="19" spans="1:14" x14ac:dyDescent="0.3">
      <c r="B19" s="19" t="s">
        <v>1</v>
      </c>
      <c r="C19" s="201">
        <f t="shared" ref="C19:D19" si="6">C18/12</f>
        <v>67826.174874999982</v>
      </c>
      <c r="D19" s="12">
        <f t="shared" si="6"/>
        <v>19.833333333333332</v>
      </c>
      <c r="E19" s="27"/>
      <c r="F19" s="6"/>
      <c r="G19" s="2"/>
      <c r="H19" s="216"/>
      <c r="I19" s="217"/>
      <c r="J19" s="330"/>
    </row>
    <row r="21" spans="1:14" ht="21" x14ac:dyDescent="0.4">
      <c r="C21" s="441" t="s">
        <v>45</v>
      </c>
      <c r="D21" s="442"/>
      <c r="E21" s="442"/>
      <c r="F21" s="442"/>
      <c r="G21" s="442"/>
      <c r="H21" s="442"/>
      <c r="I21" s="442"/>
      <c r="J21" s="443"/>
    </row>
    <row r="22" spans="1:14" x14ac:dyDescent="0.3">
      <c r="C22" s="211">
        <f>C38</f>
        <v>1297737.4424000001</v>
      </c>
      <c r="D22" s="53"/>
      <c r="E22" s="53"/>
      <c r="F22" s="53"/>
      <c r="G22" s="53"/>
      <c r="H22" s="53"/>
      <c r="I22" s="53"/>
      <c r="J22" s="54"/>
    </row>
    <row r="23" spans="1:14" s="1" customFormat="1" x14ac:dyDescent="0.3">
      <c r="C23" s="223"/>
      <c r="D23" s="220"/>
      <c r="E23" s="219"/>
      <c r="F23" s="219"/>
      <c r="G23" s="219"/>
      <c r="H23" s="219"/>
      <c r="I23" s="219"/>
      <c r="J23" s="221"/>
      <c r="L23" s="6"/>
    </row>
    <row r="24" spans="1:14" s="14" customFormat="1" x14ac:dyDescent="0.3">
      <c r="B24" s="63"/>
      <c r="C24" s="77" t="s">
        <v>31</v>
      </c>
      <c r="D24" s="285" t="s">
        <v>32</v>
      </c>
      <c r="E24" s="299" t="s">
        <v>70</v>
      </c>
      <c r="F24" s="220" t="s">
        <v>34</v>
      </c>
      <c r="G24" s="294" t="s">
        <v>8</v>
      </c>
      <c r="H24" s="220" t="s">
        <v>34</v>
      </c>
      <c r="I24" s="288" t="s">
        <v>33</v>
      </c>
      <c r="J24" s="222" t="s">
        <v>34</v>
      </c>
      <c r="K24" s="48"/>
      <c r="L24" s="86"/>
      <c r="M24" s="398">
        <v>0.2</v>
      </c>
    </row>
    <row r="25" spans="1:14" x14ac:dyDescent="0.3">
      <c r="A25" s="25"/>
      <c r="B25" s="267">
        <v>46023</v>
      </c>
      <c r="C25" s="200">
        <f>DISTRIBUIÇÃO!D29</f>
        <v>88765.241060160013</v>
      </c>
      <c r="D25" s="200" cm="1">
        <f t="array" ref="D25:D36">D5:D16</f>
        <v>18</v>
      </c>
      <c r="E25" s="193">
        <f>DISTRIBUIÇÃO!F29+DISTRIBUIÇÃO!H29-PROD.INDUSTRIA!M25</f>
        <v>70124.540437526404</v>
      </c>
      <c r="F25" s="210">
        <f>E25/D25</f>
        <v>3895.8078020848002</v>
      </c>
      <c r="G25" s="194">
        <f>DISTRIBUIÇÃO!J29</f>
        <v>12947.088836079347</v>
      </c>
      <c r="H25" s="210">
        <f>G25/D25</f>
        <v>719.2827131155193</v>
      </c>
      <c r="I25" s="205">
        <f>E25+G25</f>
        <v>83071.629273605751</v>
      </c>
      <c r="J25" s="213">
        <f>I25/D25</f>
        <v>4615.0905152003197</v>
      </c>
      <c r="K25" s="206"/>
      <c r="M25" s="304">
        <f>DISTRIBUIÇÃO!F29*PROD.INDUSTRIA!$M$24</f>
        <v>14202.438569625601</v>
      </c>
    </row>
    <row r="26" spans="1:14" x14ac:dyDescent="0.3">
      <c r="A26" s="25"/>
      <c r="B26" s="268">
        <v>46054</v>
      </c>
      <c r="C26" s="201">
        <f>DISTRIBUIÇÃO!D30</f>
        <v>93437.09585279999</v>
      </c>
      <c r="D26" s="201">
        <v>20</v>
      </c>
      <c r="E26" s="195">
        <f>DISTRIBUIÇÃO!F30+DISTRIBUIÇÃO!H30-PROD.INDUSTRIA!M26</f>
        <v>73815.305723711994</v>
      </c>
      <c r="F26" s="206">
        <f t="shared" ref="F26:F36" si="7">E26/D26</f>
        <v>3690.7652861855995</v>
      </c>
      <c r="G26" s="208">
        <f>DISTRIBUIÇÃO!J30</f>
        <v>13628.514564294048</v>
      </c>
      <c r="H26" s="206">
        <f t="shared" ref="H26:H36" si="8">G26/D26</f>
        <v>681.42572821470242</v>
      </c>
      <c r="I26" s="209">
        <f t="shared" ref="I26:I36" si="9">E26+G26</f>
        <v>87443.820288006042</v>
      </c>
      <c r="J26" s="214">
        <f t="shared" ref="J26:J36" si="10">I26/D26</f>
        <v>4372.1910144003023</v>
      </c>
      <c r="K26" s="206"/>
      <c r="M26" s="304">
        <f>DISTRIBUIÇÃO!F30*PROD.INDUSTRIA!$M$24</f>
        <v>14949.935336447999</v>
      </c>
    </row>
    <row r="27" spans="1:14" x14ac:dyDescent="0.3">
      <c r="A27" s="25"/>
      <c r="B27" s="268">
        <v>46082</v>
      </c>
      <c r="C27" s="201">
        <f>DISTRIBUIÇÃO!D31</f>
        <v>98108.950645439996</v>
      </c>
      <c r="D27" s="201">
        <v>22</v>
      </c>
      <c r="E27" s="195">
        <f>DISTRIBUIÇÃO!F31+DISTRIBUIÇÃO!H31-PROD.INDUSTRIA!M27</f>
        <v>77506.071009897598</v>
      </c>
      <c r="F27" s="206">
        <f t="shared" si="7"/>
        <v>3523.0032277226182</v>
      </c>
      <c r="G27" s="208">
        <f>DISTRIBUIÇÃO!J31</f>
        <v>14309.940292508751</v>
      </c>
      <c r="H27" s="206">
        <f t="shared" si="8"/>
        <v>650.45183147767045</v>
      </c>
      <c r="I27" s="209">
        <f t="shared" si="9"/>
        <v>91816.011302406347</v>
      </c>
      <c r="J27" s="214">
        <f t="shared" si="10"/>
        <v>4173.4550592002888</v>
      </c>
      <c r="K27" s="206"/>
      <c r="M27" s="304">
        <f>DISTRIBUIÇÃO!F31*PROD.INDUSTRIA!$M$24</f>
        <v>15697.432103270401</v>
      </c>
    </row>
    <row r="28" spans="1:14" x14ac:dyDescent="0.3">
      <c r="A28" s="25"/>
      <c r="B28" s="268">
        <v>46113</v>
      </c>
      <c r="C28" s="201">
        <f>DISTRIBUIÇÃO!D32</f>
        <v>116666.59607175998</v>
      </c>
      <c r="D28" s="201">
        <v>21</v>
      </c>
      <c r="E28" s="195">
        <f>DISTRIBUIÇÃO!F32+DISTRIBUIÇÃO!H32-PROD.INDUSTRIA!M28</f>
        <v>92166.610896690385</v>
      </c>
      <c r="F28" s="206">
        <f t="shared" si="7"/>
        <v>4388.8862331757327</v>
      </c>
      <c r="G28" s="208">
        <f>DISTRIBUIÇÃO!J32</f>
        <v>17016.71471291715</v>
      </c>
      <c r="H28" s="206">
        <f t="shared" si="8"/>
        <v>810.31974823414998</v>
      </c>
      <c r="I28" s="209">
        <f t="shared" si="9"/>
        <v>109183.32560960753</v>
      </c>
      <c r="J28" s="214">
        <f t="shared" si="10"/>
        <v>5199.205981409883</v>
      </c>
      <c r="K28" s="206"/>
      <c r="M28" s="304">
        <f>DISTRIBUIÇÃO!F32*PROD.INDUSTRIA!$M$24</f>
        <v>18666.655371481596</v>
      </c>
    </row>
    <row r="29" spans="1:14" x14ac:dyDescent="0.3">
      <c r="A29" s="25"/>
      <c r="B29" s="268">
        <v>46143</v>
      </c>
      <c r="C29" s="201">
        <f>DISTRIBUIÇÃO!D33</f>
        <v>122895.73579528001</v>
      </c>
      <c r="D29" s="201">
        <v>19</v>
      </c>
      <c r="E29" s="195">
        <f>DISTRIBUIÇÃO!F33+DISTRIBUIÇÃO!H33-PROD.INDUSTRIA!M29</f>
        <v>97087.631278271205</v>
      </c>
      <c r="F29" s="206">
        <f t="shared" si="7"/>
        <v>5109.8753304353268</v>
      </c>
      <c r="G29" s="208">
        <f>DISTRIBUIÇÃO!J33</f>
        <v>17925.282350536756</v>
      </c>
      <c r="H29" s="206">
        <f t="shared" si="8"/>
        <v>943.43591318614506</v>
      </c>
      <c r="I29" s="209">
        <f t="shared" si="9"/>
        <v>115012.91362880796</v>
      </c>
      <c r="J29" s="214">
        <f t="shared" si="10"/>
        <v>6053.3112436214715</v>
      </c>
      <c r="K29" s="206"/>
      <c r="M29" s="304">
        <f>DISTRIBUIÇÃO!F33*PROD.INDUSTRIA!$M$24</f>
        <v>19663.317727244805</v>
      </c>
    </row>
    <row r="30" spans="1:14" x14ac:dyDescent="0.3">
      <c r="A30" s="25"/>
      <c r="B30" s="268">
        <v>46174</v>
      </c>
      <c r="C30" s="201">
        <f>DISTRIBUIÇÃO!D34</f>
        <v>123804.15200495999</v>
      </c>
      <c r="D30" s="201">
        <v>22</v>
      </c>
      <c r="E30" s="195">
        <f>DISTRIBUIÇÃO!F34+DISTRIBUIÇÃO!H34-PROD.INDUSTRIA!M30</f>
        <v>97805.280083918406</v>
      </c>
      <c r="F30" s="206">
        <f t="shared" si="7"/>
        <v>4445.6945492690184</v>
      </c>
      <c r="G30" s="208">
        <f>DISTRIBUIÇÃO!J34</f>
        <v>18057.781797689615</v>
      </c>
      <c r="H30" s="206">
        <f t="shared" si="8"/>
        <v>820.80826353134614</v>
      </c>
      <c r="I30" s="209">
        <f t="shared" si="9"/>
        <v>115863.06188160802</v>
      </c>
      <c r="J30" s="214">
        <f t="shared" si="10"/>
        <v>5266.5028128003651</v>
      </c>
      <c r="K30" s="206"/>
      <c r="M30" s="304">
        <f>DISTRIBUIÇÃO!F34*PROD.INDUSTRIA!$M$24</f>
        <v>19808.664320793599</v>
      </c>
    </row>
    <row r="31" spans="1:14" x14ac:dyDescent="0.3">
      <c r="A31" s="25"/>
      <c r="B31" s="268">
        <v>46204</v>
      </c>
      <c r="C31" s="201">
        <f>DISTRIBUIÇÃO!D35</f>
        <v>123933.9257492</v>
      </c>
      <c r="D31" s="201">
        <v>22</v>
      </c>
      <c r="E31" s="195">
        <f>DISTRIBUIÇÃO!F35+DISTRIBUIÇÃO!H35-PROD.INDUSTRIA!M31</f>
        <v>97907.801341868006</v>
      </c>
      <c r="F31" s="206">
        <f t="shared" si="7"/>
        <v>4450.3546064485454</v>
      </c>
      <c r="G31" s="208">
        <f>DISTRIBUIÇÃO!J35</f>
        <v>18076.710290140021</v>
      </c>
      <c r="H31" s="206">
        <f t="shared" si="8"/>
        <v>821.66864955181916</v>
      </c>
      <c r="I31" s="209">
        <f t="shared" si="9"/>
        <v>115984.51163200803</v>
      </c>
      <c r="J31" s="214">
        <f t="shared" si="10"/>
        <v>5272.0232560003651</v>
      </c>
      <c r="K31" s="206"/>
      <c r="M31" s="304">
        <f>DISTRIBUIÇÃO!F35*PROD.INDUSTRIA!$M$24</f>
        <v>19829.428119872002</v>
      </c>
    </row>
    <row r="32" spans="1:14" x14ac:dyDescent="0.3">
      <c r="A32" s="25"/>
      <c r="B32" s="268">
        <v>46235</v>
      </c>
      <c r="C32" s="201">
        <f>DISTRIBUIÇÃO!D36</f>
        <v>128995.10177456</v>
      </c>
      <c r="D32" s="201">
        <v>22</v>
      </c>
      <c r="E32" s="195">
        <f>DISTRIBUIÇÃO!F36+DISTRIBUIÇÃO!H36-PROD.INDUSTRIA!M32</f>
        <v>101906.1304019024</v>
      </c>
      <c r="F32" s="206">
        <f t="shared" si="7"/>
        <v>4632.0968364501086</v>
      </c>
      <c r="G32" s="208">
        <f>DISTRIBUIÇÃO!J36</f>
        <v>18814.921495705952</v>
      </c>
      <c r="H32" s="206">
        <f t="shared" si="8"/>
        <v>855.22370435027051</v>
      </c>
      <c r="I32" s="209">
        <f t="shared" si="9"/>
        <v>120721.05189760835</v>
      </c>
      <c r="J32" s="214">
        <f t="shared" si="10"/>
        <v>5487.3205408003796</v>
      </c>
      <c r="K32" s="206"/>
      <c r="M32" s="304">
        <f>DISTRIBUIÇÃO!F36*PROD.INDUSTRIA!$M$24</f>
        <v>20639.216283929603</v>
      </c>
    </row>
    <row r="33" spans="1:14" x14ac:dyDescent="0.3">
      <c r="A33" s="25"/>
      <c r="B33" s="268">
        <v>46266</v>
      </c>
      <c r="C33" s="201">
        <f>DISTRIBUIÇÃO!D37</f>
        <v>121078.90337591998</v>
      </c>
      <c r="D33" s="201">
        <v>20</v>
      </c>
      <c r="E33" s="195">
        <f>DISTRIBUIÇÃO!F37+DISTRIBUIÇÃO!H37-PROD.INDUSTRIA!M33</f>
        <v>95652.333666976789</v>
      </c>
      <c r="F33" s="206">
        <f t="shared" si="7"/>
        <v>4782.6166833488396</v>
      </c>
      <c r="G33" s="208">
        <f>DISTRIBUIÇÃO!J37</f>
        <v>17660.283456231035</v>
      </c>
      <c r="H33" s="206">
        <f t="shared" si="8"/>
        <v>883.0141728115517</v>
      </c>
      <c r="I33" s="209">
        <f t="shared" si="9"/>
        <v>113312.61712320782</v>
      </c>
      <c r="J33" s="214">
        <f t="shared" si="10"/>
        <v>5665.630856160391</v>
      </c>
      <c r="K33" s="206"/>
      <c r="M33" s="304">
        <f>DISTRIBUIÇÃO!F37*PROD.INDUSTRIA!$M$24</f>
        <v>19372.624540147197</v>
      </c>
    </row>
    <row r="34" spans="1:14" x14ac:dyDescent="0.3">
      <c r="A34" s="25"/>
      <c r="B34" s="268">
        <v>46296</v>
      </c>
      <c r="C34" s="201">
        <f>DISTRIBUIÇÃO!D38</f>
        <v>127827.13807639999</v>
      </c>
      <c r="D34" s="201">
        <v>20</v>
      </c>
      <c r="E34" s="195">
        <f>DISTRIBUIÇÃO!F38+DISTRIBUIÇÃO!H38-PROD.INDUSTRIA!M34</f>
        <v>100983.43908035599</v>
      </c>
      <c r="F34" s="206">
        <f t="shared" si="7"/>
        <v>5049.1719540178001</v>
      </c>
      <c r="G34" s="208">
        <f>DISTRIBUIÇÃO!J38</f>
        <v>18644.565063652277</v>
      </c>
      <c r="H34" s="206">
        <f t="shared" si="8"/>
        <v>932.2282531826138</v>
      </c>
      <c r="I34" s="209">
        <f t="shared" si="9"/>
        <v>119628.00414400827</v>
      </c>
      <c r="J34" s="214">
        <f t="shared" si="10"/>
        <v>5981.4002072004132</v>
      </c>
      <c r="K34" s="206"/>
      <c r="M34" s="304">
        <f>DISTRIBUIÇÃO!F38*PROD.INDUSTRIA!$M$24</f>
        <v>20452.342092224004</v>
      </c>
    </row>
    <row r="35" spans="1:14" x14ac:dyDescent="0.3">
      <c r="A35" s="25"/>
      <c r="B35" s="268">
        <v>46327</v>
      </c>
      <c r="C35" s="201">
        <f>DISTRIBUIÇÃO!D39</f>
        <v>97589.855668479999</v>
      </c>
      <c r="D35" s="201">
        <v>20</v>
      </c>
      <c r="E35" s="195">
        <f>DISTRIBUIÇÃO!F39+DISTRIBUIÇÃO!H39-PROD.INDUSTRIA!M35</f>
        <v>77095.985978099197</v>
      </c>
      <c r="F35" s="206">
        <f t="shared" si="7"/>
        <v>3854.7992989049599</v>
      </c>
      <c r="G35" s="208">
        <f>DISTRIBUIÇÃO!J39</f>
        <v>14234.226322707118</v>
      </c>
      <c r="H35" s="206">
        <f t="shared" si="8"/>
        <v>711.7113161353559</v>
      </c>
      <c r="I35" s="209">
        <f t="shared" si="9"/>
        <v>91330.212300806321</v>
      </c>
      <c r="J35" s="214">
        <f t="shared" si="10"/>
        <v>4566.5106150403162</v>
      </c>
      <c r="K35" s="206"/>
      <c r="M35" s="304">
        <f>DISTRIBUIÇÃO!F39*PROD.INDUSTRIA!$M$24</f>
        <v>15614.376906956802</v>
      </c>
    </row>
    <row r="36" spans="1:14" x14ac:dyDescent="0.3">
      <c r="A36" s="25"/>
      <c r="B36" s="268">
        <v>46357</v>
      </c>
      <c r="C36" s="201">
        <f>DISTRIBUIÇÃO!D40</f>
        <v>54634.746325039996</v>
      </c>
      <c r="D36" s="201">
        <v>12</v>
      </c>
      <c r="E36" s="195">
        <f>DISTRIBUIÇÃO!F40+DISTRIBUIÇÃO!H40-PROD.INDUSTRIA!M36</f>
        <v>43161.449596781596</v>
      </c>
      <c r="F36" s="206">
        <f t="shared" si="7"/>
        <v>3596.7874663984662</v>
      </c>
      <c r="G36" s="208">
        <f>DISTRIBUIÇÃO!J40</f>
        <v>7968.8953216219352</v>
      </c>
      <c r="H36" s="206">
        <f t="shared" si="8"/>
        <v>664.07461013516127</v>
      </c>
      <c r="I36" s="209">
        <f t="shared" si="9"/>
        <v>51130.344918403534</v>
      </c>
      <c r="J36" s="214">
        <f t="shared" si="10"/>
        <v>4260.8620765336282</v>
      </c>
      <c r="K36" s="206"/>
      <c r="M36" s="304">
        <f>DISTRIBUIÇÃO!F40*PROD.INDUSTRIA!$M$24</f>
        <v>8741.5594120063997</v>
      </c>
    </row>
    <row r="37" spans="1:14" x14ac:dyDescent="0.3">
      <c r="A37" s="25"/>
      <c r="B37" s="7"/>
      <c r="C37" s="202"/>
      <c r="D37" s="203"/>
      <c r="E37" s="196"/>
      <c r="F37" s="197"/>
      <c r="G37" s="198"/>
      <c r="H37" s="198"/>
      <c r="I37" s="198"/>
      <c r="J37" s="199"/>
      <c r="K37" s="356"/>
      <c r="M37" s="304"/>
    </row>
    <row r="38" spans="1:14" s="14" customFormat="1" x14ac:dyDescent="0.3">
      <c r="B38" s="226"/>
      <c r="C38" s="328">
        <f>SUM(C25:C37)</f>
        <v>1297737.4424000001</v>
      </c>
      <c r="D38" s="204">
        <f t="shared" ref="D38" si="11">SUM(D25:D37)</f>
        <v>238</v>
      </c>
      <c r="E38" s="292">
        <f t="shared" ref="E38:I38" si="12">SUM(E25:E36)</f>
        <v>1025212.579496</v>
      </c>
      <c r="F38" s="218"/>
      <c r="G38" s="291">
        <f t="shared" si="12"/>
        <v>189284.92450408399</v>
      </c>
      <c r="H38" s="218"/>
      <c r="I38" s="293">
        <f t="shared" si="12"/>
        <v>1214497.5040000838</v>
      </c>
      <c r="J38" s="218"/>
      <c r="K38" s="218"/>
      <c r="L38" s="227"/>
      <c r="M38" s="451"/>
      <c r="N38" s="452"/>
    </row>
    <row r="39" spans="1:14" x14ac:dyDescent="0.3">
      <c r="B39" s="19" t="s">
        <v>1</v>
      </c>
      <c r="C39" s="201">
        <f t="shared" ref="C39:D39" si="13">C38/12</f>
        <v>108144.78686666668</v>
      </c>
      <c r="D39" s="201">
        <f t="shared" si="13"/>
        <v>19.833333333333332</v>
      </c>
      <c r="E39" s="215"/>
      <c r="F39" s="206"/>
      <c r="G39" s="206"/>
      <c r="H39" s="217" t="s">
        <v>6</v>
      </c>
      <c r="I39" s="217"/>
      <c r="J39" s="329"/>
      <c r="K39" s="206"/>
    </row>
    <row r="41" spans="1:14" ht="21" x14ac:dyDescent="0.4">
      <c r="C41" s="429" t="s">
        <v>35</v>
      </c>
      <c r="D41" s="430"/>
      <c r="E41" s="430"/>
      <c r="F41" s="430"/>
      <c r="G41" s="430"/>
      <c r="H41" s="430"/>
      <c r="I41" s="430"/>
      <c r="J41" s="431"/>
    </row>
    <row r="42" spans="1:14" x14ac:dyDescent="0.3">
      <c r="C42" s="211">
        <f>C22+C2</f>
        <v>2111651.5408999999</v>
      </c>
      <c r="D42" s="53"/>
      <c r="E42" s="53"/>
      <c r="F42" s="53"/>
      <c r="G42" s="53"/>
      <c r="H42" s="53"/>
      <c r="I42" s="53"/>
      <c r="J42" s="225"/>
    </row>
    <row r="43" spans="1:14" s="1" customFormat="1" x14ac:dyDescent="0.3">
      <c r="C43" s="223"/>
      <c r="D43" s="220"/>
      <c r="E43" s="224"/>
      <c r="F43" s="219"/>
      <c r="G43" s="224"/>
      <c r="H43" s="219"/>
      <c r="I43" s="219"/>
      <c r="J43" s="221"/>
      <c r="K43" s="48" t="s">
        <v>36</v>
      </c>
      <c r="L43" s="227" t="s">
        <v>29</v>
      </c>
    </row>
    <row r="44" spans="1:14" s="14" customFormat="1" x14ac:dyDescent="0.3">
      <c r="B44" s="63"/>
      <c r="C44" s="77" t="s">
        <v>31</v>
      </c>
      <c r="D44" s="285" t="s">
        <v>32</v>
      </c>
      <c r="E44" s="299" t="s">
        <v>70</v>
      </c>
      <c r="F44" s="220" t="s">
        <v>34</v>
      </c>
      <c r="G44" s="287" t="s">
        <v>8</v>
      </c>
      <c r="H44" s="220" t="s">
        <v>34</v>
      </c>
      <c r="I44" s="288" t="s">
        <v>33</v>
      </c>
      <c r="J44" s="222" t="s">
        <v>34</v>
      </c>
      <c r="K44" s="218">
        <v>9000</v>
      </c>
      <c r="L44" s="227">
        <f>K44*20</f>
        <v>180000</v>
      </c>
    </row>
    <row r="45" spans="1:14" x14ac:dyDescent="0.3">
      <c r="A45" s="25"/>
      <c r="B45" s="286">
        <v>46023</v>
      </c>
      <c r="C45" s="200">
        <f>C25+C5</f>
        <v>146006.31364342899</v>
      </c>
      <c r="D45" s="200" cm="1">
        <f t="array" ref="D45:D56">D5:D16</f>
        <v>18</v>
      </c>
      <c r="E45" s="193">
        <f>E5+E25</f>
        <v>121054.59488555921</v>
      </c>
      <c r="F45" s="210">
        <f>E45/D45</f>
        <v>6725.2552714199564</v>
      </c>
      <c r="G45" s="194">
        <f>G5+G25</f>
        <v>17717.178218018427</v>
      </c>
      <c r="H45" s="210">
        <f>G45/D45</f>
        <v>984.28767877880148</v>
      </c>
      <c r="I45" s="205">
        <f>E45+G45</f>
        <v>138771.77310357764</v>
      </c>
      <c r="J45" s="213">
        <f>I45/D45</f>
        <v>7709.5429501987574</v>
      </c>
      <c r="K45" s="206">
        <f>$K$44-J45</f>
        <v>1290.4570498012426</v>
      </c>
      <c r="L45" s="206">
        <f>K45*D45</f>
        <v>23228.226896422369</v>
      </c>
    </row>
    <row r="46" spans="1:14" x14ac:dyDescent="0.3">
      <c r="A46" s="25"/>
      <c r="B46" s="96">
        <v>46054</v>
      </c>
      <c r="C46" s="201">
        <f t="shared" ref="C46:C55" si="14">C26+C6</f>
        <v>163565.77834516752</v>
      </c>
      <c r="D46" s="201">
        <v>20</v>
      </c>
      <c r="E46" s="195">
        <f t="shared" ref="E46:E56" si="15">E6+E26</f>
        <v>136212.06833694517</v>
      </c>
      <c r="F46" s="206">
        <f t="shared" ref="F46:F56" si="16">E46/D46</f>
        <v>6810.6034168472588</v>
      </c>
      <c r="G46" s="208">
        <f t="shared" ref="G46:G56" si="17">G6+G26</f>
        <v>19472.571438658011</v>
      </c>
      <c r="H46" s="206">
        <f t="shared" ref="H46:H56" si="18">G46/D46</f>
        <v>973.62857193290051</v>
      </c>
      <c r="I46" s="209">
        <f t="shared" ref="I46:I56" si="19">E46+G46</f>
        <v>155684.63977560319</v>
      </c>
      <c r="J46" s="214">
        <f t="shared" ref="J46:J55" si="20">I46/D46</f>
        <v>7784.2319887801596</v>
      </c>
      <c r="K46" s="206">
        <f t="shared" ref="K46:K56" si="21">$K$44-J46</f>
        <v>1215.7680112198404</v>
      </c>
      <c r="L46" s="206">
        <f t="shared" ref="L46:L56" si="22">K46*D46</f>
        <v>24315.360224396809</v>
      </c>
    </row>
    <row r="47" spans="1:14" x14ac:dyDescent="0.3">
      <c r="A47" s="25"/>
      <c r="B47" s="96">
        <v>46082</v>
      </c>
      <c r="C47" s="201">
        <f t="shared" si="14"/>
        <v>163445.92329802795</v>
      </c>
      <c r="D47" s="201">
        <v>22</v>
      </c>
      <c r="E47" s="195">
        <f t="shared" si="15"/>
        <v>135639.42568848489</v>
      </c>
      <c r="F47" s="206">
        <f t="shared" si="16"/>
        <v>6165.4284403856764</v>
      </c>
      <c r="G47" s="208">
        <f t="shared" si="17"/>
        <v>19754.688013557745</v>
      </c>
      <c r="H47" s="206">
        <f t="shared" si="18"/>
        <v>897.94036425262482</v>
      </c>
      <c r="I47" s="209">
        <f t="shared" si="19"/>
        <v>155394.11370204264</v>
      </c>
      <c r="J47" s="214">
        <f t="shared" si="20"/>
        <v>7063.3688046383022</v>
      </c>
      <c r="K47" s="206">
        <f t="shared" si="21"/>
        <v>1936.6311953616978</v>
      </c>
      <c r="L47" s="206">
        <f t="shared" si="22"/>
        <v>42605.886297957353</v>
      </c>
    </row>
    <row r="48" spans="1:14" x14ac:dyDescent="0.3">
      <c r="A48" s="25"/>
      <c r="B48" s="96">
        <v>46113</v>
      </c>
      <c r="C48" s="201">
        <f t="shared" si="14"/>
        <v>178896.7075478858</v>
      </c>
      <c r="D48" s="201">
        <v>21</v>
      </c>
      <c r="E48" s="195">
        <f t="shared" si="15"/>
        <v>147535.64614975482</v>
      </c>
      <c r="F48" s="206">
        <f t="shared" si="16"/>
        <v>7025.506959512134</v>
      </c>
      <c r="G48" s="208">
        <f t="shared" si="17"/>
        <v>22202.557335927635</v>
      </c>
      <c r="H48" s="206">
        <f t="shared" si="18"/>
        <v>1057.264635044173</v>
      </c>
      <c r="I48" s="209">
        <f t="shared" si="19"/>
        <v>169738.20348568246</v>
      </c>
      <c r="J48" s="214">
        <f t="shared" si="20"/>
        <v>8082.7715945563077</v>
      </c>
      <c r="K48" s="206">
        <f t="shared" si="21"/>
        <v>917.22840544369228</v>
      </c>
      <c r="L48" s="206">
        <f t="shared" si="22"/>
        <v>19261.796514317539</v>
      </c>
    </row>
    <row r="49" spans="1:14" x14ac:dyDescent="0.3">
      <c r="A49" s="25"/>
      <c r="B49" s="96">
        <v>46143</v>
      </c>
      <c r="C49" s="201">
        <f t="shared" si="14"/>
        <v>179833.59947014929</v>
      </c>
      <c r="D49" s="201">
        <v>19</v>
      </c>
      <c r="E49" s="195">
        <f t="shared" si="15"/>
        <v>147747.90660587503</v>
      </c>
      <c r="F49" s="206">
        <f>E49/D49</f>
        <v>7776.2056108355282</v>
      </c>
      <c r="G49" s="208">
        <f t="shared" si="17"/>
        <v>22670.104323442531</v>
      </c>
      <c r="H49" s="206">
        <f t="shared" si="18"/>
        <v>1193.1633854443437</v>
      </c>
      <c r="I49" s="209">
        <f t="shared" si="19"/>
        <v>170418.01092931756</v>
      </c>
      <c r="J49" s="214">
        <f t="shared" si="20"/>
        <v>8969.3689962798726</v>
      </c>
      <c r="K49" s="206">
        <f t="shared" si="21"/>
        <v>30.63100372012741</v>
      </c>
      <c r="L49" s="206">
        <f t="shared" si="22"/>
        <v>581.98907068242079</v>
      </c>
    </row>
    <row r="50" spans="1:14" x14ac:dyDescent="0.3">
      <c r="A50" s="25"/>
      <c r="B50" s="96">
        <v>46174</v>
      </c>
      <c r="C50" s="201">
        <f t="shared" si="14"/>
        <v>183588.90886357272</v>
      </c>
      <c r="D50" s="201">
        <v>22</v>
      </c>
      <c r="E50" s="195">
        <f t="shared" si="15"/>
        <v>150998.56917790242</v>
      </c>
      <c r="F50" s="206">
        <f t="shared" si="16"/>
        <v>6863.5713262682921</v>
      </c>
      <c r="G50" s="208">
        <f t="shared" si="17"/>
        <v>23039.844869240675</v>
      </c>
      <c r="H50" s="206">
        <f t="shared" si="18"/>
        <v>1047.2656758745761</v>
      </c>
      <c r="I50" s="209">
        <f t="shared" si="19"/>
        <v>174038.4140471431</v>
      </c>
      <c r="J50" s="214">
        <f t="shared" si="20"/>
        <v>7910.8370021428682</v>
      </c>
      <c r="K50" s="206">
        <f t="shared" si="21"/>
        <v>1089.1629978571318</v>
      </c>
      <c r="L50" s="206">
        <f t="shared" si="22"/>
        <v>23961.585952856898</v>
      </c>
    </row>
    <row r="51" spans="1:14" x14ac:dyDescent="0.3">
      <c r="A51" s="25"/>
      <c r="B51" s="96">
        <v>46204</v>
      </c>
      <c r="C51" s="201">
        <f t="shared" si="14"/>
        <v>197304.40021425334</v>
      </c>
      <c r="D51" s="201">
        <v>22</v>
      </c>
      <c r="E51" s="195">
        <f t="shared" si="15"/>
        <v>163188.93760896494</v>
      </c>
      <c r="F51" s="206">
        <f t="shared" si="16"/>
        <v>7417.6789822256796</v>
      </c>
      <c r="G51" s="208">
        <f t="shared" si="17"/>
        <v>24190.916495561134</v>
      </c>
      <c r="H51" s="206">
        <f t="shared" si="18"/>
        <v>1099.5871134345971</v>
      </c>
      <c r="I51" s="209">
        <f t="shared" si="19"/>
        <v>187379.85410452608</v>
      </c>
      <c r="J51" s="214">
        <f t="shared" si="20"/>
        <v>8517.2660956602758</v>
      </c>
      <c r="K51" s="206">
        <f t="shared" si="21"/>
        <v>482.73390433972418</v>
      </c>
      <c r="L51" s="206">
        <f>K51*D51</f>
        <v>10620.145895473932</v>
      </c>
    </row>
    <row r="52" spans="1:14" x14ac:dyDescent="0.3">
      <c r="A52" s="25"/>
      <c r="B52" s="96">
        <v>46235</v>
      </c>
      <c r="C52" s="201">
        <f t="shared" si="14"/>
        <v>204074.46632531914</v>
      </c>
      <c r="D52" s="201">
        <v>22</v>
      </c>
      <c r="E52" s="195">
        <f t="shared" si="15"/>
        <v>168707.7459539409</v>
      </c>
      <c r="F52" s="206">
        <f t="shared" si="16"/>
        <v>7668.5339069973134</v>
      </c>
      <c r="G52" s="208">
        <f t="shared" si="17"/>
        <v>25071.535208269212</v>
      </c>
      <c r="H52" s="206">
        <f t="shared" si="18"/>
        <v>1139.6152367395096</v>
      </c>
      <c r="I52" s="209">
        <f t="shared" si="19"/>
        <v>193779.2811622101</v>
      </c>
      <c r="J52" s="214">
        <f t="shared" si="20"/>
        <v>8808.1491437368222</v>
      </c>
      <c r="K52" s="206">
        <f t="shared" si="21"/>
        <v>191.85085626317777</v>
      </c>
      <c r="L52" s="206">
        <f t="shared" si="22"/>
        <v>4220.718837789911</v>
      </c>
    </row>
    <row r="53" spans="1:14" x14ac:dyDescent="0.3">
      <c r="A53" s="25"/>
      <c r="B53" s="96">
        <v>46266</v>
      </c>
      <c r="C53" s="201">
        <f t="shared" si="14"/>
        <v>213255.5489629907</v>
      </c>
      <c r="D53" s="201">
        <v>20</v>
      </c>
      <c r="E53" s="195">
        <f t="shared" si="15"/>
        <v>177666.19830512314</v>
      </c>
      <c r="F53" s="206">
        <f t="shared" si="16"/>
        <v>8883.3099152561572</v>
      </c>
      <c r="G53" s="208">
        <f t="shared" si="17"/>
        <v>25341.670588486926</v>
      </c>
      <c r="H53" s="206">
        <f t="shared" si="18"/>
        <v>1267.0835294243464</v>
      </c>
      <c r="I53" s="209">
        <f t="shared" si="19"/>
        <v>203007.86889361005</v>
      </c>
      <c r="J53" s="214">
        <f t="shared" si="20"/>
        <v>10150.393444680503</v>
      </c>
      <c r="K53" s="206">
        <f t="shared" si="21"/>
        <v>-1150.3934446805033</v>
      </c>
      <c r="L53" s="206">
        <f t="shared" si="22"/>
        <v>-23007.868893610066</v>
      </c>
    </row>
    <row r="54" spans="1:14" x14ac:dyDescent="0.3">
      <c r="A54" s="25"/>
      <c r="B54" s="96">
        <v>46296</v>
      </c>
      <c r="C54" s="201">
        <f t="shared" si="14"/>
        <v>225207.30397887004</v>
      </c>
      <c r="D54" s="201">
        <v>20</v>
      </c>
      <c r="E54" s="195">
        <f t="shared" si="15"/>
        <v>187627.11865775276</v>
      </c>
      <c r="F54" s="206">
        <f t="shared" si="16"/>
        <v>9381.3559328876381</v>
      </c>
      <c r="G54" s="208">
        <f t="shared" si="17"/>
        <v>26759.578888858112</v>
      </c>
      <c r="H54" s="206">
        <f t="shared" si="18"/>
        <v>1337.9789444429057</v>
      </c>
      <c r="I54" s="209">
        <f t="shared" si="19"/>
        <v>214386.69754661087</v>
      </c>
      <c r="J54" s="214">
        <f t="shared" si="20"/>
        <v>10719.334877330544</v>
      </c>
      <c r="K54" s="206">
        <f t="shared" si="21"/>
        <v>-1719.3348773305443</v>
      </c>
      <c r="L54" s="206">
        <f t="shared" si="22"/>
        <v>-34386.697546610885</v>
      </c>
    </row>
    <row r="55" spans="1:14" x14ac:dyDescent="0.3">
      <c r="A55" s="25"/>
      <c r="B55" s="96">
        <v>46327</v>
      </c>
      <c r="C55" s="201">
        <f t="shared" si="14"/>
        <v>171925.86017418207</v>
      </c>
      <c r="D55" s="201">
        <v>20</v>
      </c>
      <c r="E55" s="195">
        <f t="shared" si="15"/>
        <v>143236.19939595909</v>
      </c>
      <c r="F55" s="206">
        <f t="shared" si="16"/>
        <v>7161.8099697979542</v>
      </c>
      <c r="G55" s="208">
        <f t="shared" si="17"/>
        <v>20428.893364848958</v>
      </c>
      <c r="H55" s="206">
        <f t="shared" si="18"/>
        <v>1021.444668242448</v>
      </c>
      <c r="I55" s="209">
        <f t="shared" si="19"/>
        <v>163665.09276080804</v>
      </c>
      <c r="J55" s="214">
        <f t="shared" si="20"/>
        <v>8183.2546380404019</v>
      </c>
      <c r="K55" s="206">
        <f t="shared" si="21"/>
        <v>816.74536195959809</v>
      </c>
      <c r="L55" s="206">
        <f t="shared" si="22"/>
        <v>16334.907239191962</v>
      </c>
    </row>
    <row r="56" spans="1:14" x14ac:dyDescent="0.3">
      <c r="A56" s="25"/>
      <c r="B56" s="96">
        <v>46357</v>
      </c>
      <c r="C56" s="201">
        <f>C36+C16</f>
        <v>84546.730076152191</v>
      </c>
      <c r="D56" s="201">
        <v>12</v>
      </c>
      <c r="E56" s="195">
        <f t="shared" si="15"/>
        <v>69775.537913814595</v>
      </c>
      <c r="F56" s="206">
        <f t="shared" si="16"/>
        <v>5814.6281594845495</v>
      </c>
      <c r="G56" s="208">
        <f t="shared" si="17"/>
        <v>10461.560634214618</v>
      </c>
      <c r="H56" s="206">
        <f t="shared" si="18"/>
        <v>871.79671951788487</v>
      </c>
      <c r="I56" s="209">
        <f t="shared" si="19"/>
        <v>80237.098548029215</v>
      </c>
      <c r="J56" s="214">
        <f>I56/D56</f>
        <v>6686.4248790024349</v>
      </c>
      <c r="K56" s="206">
        <f t="shared" si="21"/>
        <v>2313.5751209975651</v>
      </c>
      <c r="L56" s="206">
        <f t="shared" si="22"/>
        <v>27762.901451970782</v>
      </c>
    </row>
    <row r="57" spans="1:14" x14ac:dyDescent="0.3">
      <c r="A57" s="25"/>
      <c r="B57" s="7"/>
      <c r="C57" s="202"/>
      <c r="D57" s="203"/>
      <c r="E57" s="196"/>
      <c r="F57" s="197"/>
      <c r="G57" s="198"/>
      <c r="H57" s="198"/>
      <c r="I57" s="198"/>
      <c r="J57" s="199"/>
      <c r="K57" s="206"/>
      <c r="L57" s="206">
        <f>SUM(L45:L56)</f>
        <v>135498.951940839</v>
      </c>
    </row>
    <row r="58" spans="1:14" s="14" customFormat="1" x14ac:dyDescent="0.3">
      <c r="B58" s="226"/>
      <c r="C58" s="328">
        <f>SUM(C45:C57)</f>
        <v>2111651.5408999999</v>
      </c>
      <c r="D58" s="204">
        <f t="shared" ref="D58" si="23">SUM(D45:D57)</f>
        <v>238</v>
      </c>
      <c r="E58" s="292">
        <f>SUM(E45:E56)</f>
        <v>1749389.948680077</v>
      </c>
      <c r="F58" s="218"/>
      <c r="G58" s="291">
        <f t="shared" ref="G58" si="24">SUM(G45:G56)</f>
        <v>257111.09937908393</v>
      </c>
      <c r="H58" s="218"/>
      <c r="I58" s="293">
        <f t="shared" ref="I58" si="25">SUM(I45:I56)</f>
        <v>2006501.0480591611</v>
      </c>
      <c r="J58" s="218"/>
      <c r="K58" s="218"/>
      <c r="L58" s="227"/>
      <c r="M58" s="451"/>
      <c r="N58" s="452"/>
    </row>
    <row r="59" spans="1:14" x14ac:dyDescent="0.3">
      <c r="B59" s="19" t="s">
        <v>1</v>
      </c>
      <c r="C59" s="201">
        <f t="shared" ref="C59:D59" si="26">C58/12</f>
        <v>175970.96174166666</v>
      </c>
      <c r="D59" s="201">
        <f t="shared" si="26"/>
        <v>19.833333333333332</v>
      </c>
      <c r="E59" s="215"/>
      <c r="F59" s="206"/>
      <c r="G59" s="206"/>
      <c r="H59" s="217"/>
      <c r="I59" s="217"/>
      <c r="J59" s="329"/>
      <c r="K59" s="206"/>
    </row>
    <row r="60" spans="1:14" x14ac:dyDescent="0.3">
      <c r="J60" s="66"/>
    </row>
    <row r="61" spans="1:14" x14ac:dyDescent="0.3">
      <c r="C61" s="304">
        <f>E58+G58</f>
        <v>2006501.0480591608</v>
      </c>
      <c r="D61" s="304">
        <f>C61/D58</f>
        <v>8430.6766725174821</v>
      </c>
      <c r="E61" t="s">
        <v>40</v>
      </c>
      <c r="J61" s="66"/>
    </row>
    <row r="62" spans="1:14" x14ac:dyDescent="0.3">
      <c r="C62" s="304">
        <f>C58-C61</f>
        <v>105150.49284083908</v>
      </c>
      <c r="D62" s="304">
        <f>C62/D58</f>
        <v>441.80879344890371</v>
      </c>
      <c r="E62" t="s">
        <v>41</v>
      </c>
    </row>
    <row r="63" spans="1:14" x14ac:dyDescent="0.3">
      <c r="D63" s="304">
        <f>SUM(D61:D62)</f>
        <v>8872.4854659663852</v>
      </c>
      <c r="E63" t="s">
        <v>43</v>
      </c>
    </row>
  </sheetData>
  <mergeCells count="6">
    <mergeCell ref="C1:J1"/>
    <mergeCell ref="M38:N38"/>
    <mergeCell ref="C41:J41"/>
    <mergeCell ref="M58:N58"/>
    <mergeCell ref="M18:N18"/>
    <mergeCell ref="C21:J21"/>
  </mergeCells>
  <conditionalFormatting sqref="C37">
    <cfRule type="cellIs" dxfId="23" priority="15" operator="greaterThan">
      <formula>$D$85</formula>
    </cfRule>
  </conditionalFormatting>
  <conditionalFormatting sqref="C45:C56">
    <cfRule type="top10" dxfId="22" priority="6" rank="1"/>
    <cfRule type="top10" dxfId="21" priority="7" rank="3"/>
  </conditionalFormatting>
  <conditionalFormatting sqref="C57">
    <cfRule type="cellIs" dxfId="20" priority="13" operator="greaterThan">
      <formula>$D$85</formula>
    </cfRule>
  </conditionalFormatting>
  <conditionalFormatting sqref="G37:J37">
    <cfRule type="cellIs" dxfId="19" priority="16" operator="greaterThan">
      <formula>$D$85</formula>
    </cfRule>
  </conditionalFormatting>
  <conditionalFormatting sqref="G57:J57">
    <cfRule type="cellIs" dxfId="18" priority="14" operator="greaterThan">
      <formula>$D$85</formula>
    </cfRule>
  </conditionalFormatting>
  <conditionalFormatting sqref="J45:J56">
    <cfRule type="cellIs" dxfId="17" priority="10" operator="greaterThan">
      <formula>$K$44</formula>
    </cfRule>
  </conditionalFormatting>
  <conditionalFormatting sqref="J45:J57">
    <cfRule type="top10" dxfId="16" priority="8" rank="1"/>
    <cfRule type="top10" dxfId="15" priority="9" rank="3"/>
  </conditionalFormatting>
  <conditionalFormatting sqref="K45:K56">
    <cfRule type="top10" dxfId="14" priority="1" bottom="1" rank="1"/>
    <cfRule type="top10" dxfId="13" priority="2" bottom="1" rank="3"/>
    <cfRule type="top10" dxfId="12" priority="3" bottom="1" rank="1"/>
  </conditionalFormatting>
  <conditionalFormatting sqref="L45:L57">
    <cfRule type="top10" dxfId="10" priority="4" bottom="1" rank="1"/>
    <cfRule type="top10" dxfId="9" priority="5" bottom="1" rank="3"/>
  </conditionalFormatting>
  <pageMargins left="0" right="0" top="0.25" bottom="0.25" header="0.3" footer="0.3"/>
  <pageSetup paperSize="9" scale="54" orientation="portrait" horizontalDpi="0" verticalDpi="0"/>
  <ignoredErrors>
    <ignoredError sqref="F46:J48 F49:G49 F45" formula="1"/>
    <ignoredError sqref="F50:J55 H49:J49 F56:I56" evalError="1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1" operator="containsText" id="{F2321902-83F7-004F-AF6E-136564FEF6A7}">
            <xm:f>NOT(ISERROR(SEARCH("-",K1)))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K12:L1048576 K1:L10 K11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A3A1C-8347-0745-9852-4E1E2C0706BE}">
  <sheetPr>
    <tabColor rgb="FF929000"/>
    <pageSetUpPr fitToPage="1"/>
  </sheetPr>
  <dimension ref="A1:N37"/>
  <sheetViews>
    <sheetView zoomScale="70" zoomScaleNormal="70" workbookViewId="0">
      <selection activeCell="C25" sqref="C25"/>
    </sheetView>
  </sheetViews>
  <sheetFormatPr defaultColWidth="11.19921875" defaultRowHeight="15.6" x14ac:dyDescent="0.3"/>
  <cols>
    <col min="1" max="1" width="10.69921875" customWidth="1"/>
    <col min="3" max="9" width="16.5" customWidth="1"/>
    <col min="10" max="10" width="16.19921875" customWidth="1"/>
    <col min="11" max="11" width="1.296875" customWidth="1"/>
    <col min="12" max="14" width="16.5" customWidth="1"/>
  </cols>
  <sheetData>
    <row r="1" spans="1:12" ht="21" x14ac:dyDescent="0.4">
      <c r="C1" s="456"/>
      <c r="D1" s="457"/>
      <c r="E1" s="457"/>
      <c r="F1" s="457"/>
      <c r="G1" s="457"/>
      <c r="H1" s="457"/>
      <c r="I1" s="457"/>
      <c r="J1" s="458"/>
    </row>
    <row r="2" spans="1:12" x14ac:dyDescent="0.3">
      <c r="C2" s="52" t="e">
        <f>#REF!</f>
        <v>#REF!</v>
      </c>
      <c r="D2" s="53"/>
      <c r="E2" s="53">
        <v>12</v>
      </c>
      <c r="F2" s="53"/>
      <c r="G2" s="53"/>
      <c r="H2" s="53"/>
      <c r="I2" s="53"/>
      <c r="J2" s="54">
        <f>E3+G3+I3</f>
        <v>0</v>
      </c>
    </row>
    <row r="3" spans="1:12" x14ac:dyDescent="0.3">
      <c r="C3" s="281" t="e">
        <f>#REF!</f>
        <v>#REF!</v>
      </c>
      <c r="D3" s="115"/>
      <c r="E3" s="459"/>
      <c r="F3" s="459"/>
      <c r="G3" s="459"/>
      <c r="H3" s="459"/>
      <c r="I3" s="459"/>
      <c r="J3" s="460"/>
    </row>
    <row r="4" spans="1:12" s="14" customFormat="1" x14ac:dyDescent="0.3">
      <c r="B4" s="63"/>
      <c r="C4" s="77" t="s">
        <v>2</v>
      </c>
      <c r="D4" s="78" t="s">
        <v>0</v>
      </c>
      <c r="E4" s="461" t="s">
        <v>74</v>
      </c>
      <c r="F4" s="461"/>
      <c r="G4" s="462" t="s">
        <v>75</v>
      </c>
      <c r="H4" s="462"/>
      <c r="I4" s="463" t="s">
        <v>33</v>
      </c>
      <c r="J4" s="464"/>
    </row>
    <row r="5" spans="1:12" x14ac:dyDescent="0.3">
      <c r="A5" s="25"/>
      <c r="B5" s="400">
        <v>46388</v>
      </c>
      <c r="C5" s="31"/>
      <c r="D5" s="20"/>
      <c r="E5" s="59"/>
      <c r="F5" s="60">
        <f>DISTRIBUIÇÃO!F7+DISTRIBUIÇÃO!H7+DISTRIBUIÇÃO!F29+DISTRIBUIÇÃO!H29-PROD.INDUSTRIA!M5-PROD.INDUSTRIA!M25</f>
        <v>121054.5948855592</v>
      </c>
      <c r="G5" s="55"/>
      <c r="H5" s="56">
        <f>PROD.INDUSTRIA!M5+PROD.INDUSTRIA!M25</f>
        <v>15749.121351127682</v>
      </c>
      <c r="I5" s="58"/>
      <c r="J5" s="347">
        <f>F5+H5</f>
        <v>136803.71623668689</v>
      </c>
      <c r="L5" s="50">
        <f>J5+H5+F5</f>
        <v>273607.43247337377</v>
      </c>
    </row>
    <row r="6" spans="1:12" x14ac:dyDescent="0.3">
      <c r="A6" s="25"/>
      <c r="B6" s="399">
        <v>46419</v>
      </c>
      <c r="C6" s="32"/>
      <c r="D6" s="12"/>
      <c r="E6" s="61"/>
      <c r="F6" s="62">
        <f>DISTRIBUIÇÃO!F8+DISTRIBUIÇÃO!H8+DISTRIBUIÇÃO!F30+DISTRIBUIÇÃO!H30-PROD.INDUSTRIA!M6-PROD.INDUSTRIA!M26</f>
        <v>136212.06833694517</v>
      </c>
      <c r="G6" s="79"/>
      <c r="H6" s="57">
        <f>PROD.INDUSTRIA!M6+PROD.INDUSTRIA!M26</f>
        <v>16844.847867001718</v>
      </c>
      <c r="I6" s="80"/>
      <c r="J6" s="348">
        <f t="shared" ref="J6:J16" si="0">F6+H6</f>
        <v>153056.91620394689</v>
      </c>
      <c r="L6" s="50"/>
    </row>
    <row r="7" spans="1:12" x14ac:dyDescent="0.3">
      <c r="A7" s="25"/>
      <c r="B7" s="399">
        <v>46447</v>
      </c>
      <c r="C7" s="32"/>
      <c r="D7" s="12"/>
      <c r="E7" s="61"/>
      <c r="F7" s="62">
        <f>DISTRIBUIÇÃO!F9+DISTRIBUIÇÃO!H9+DISTRIBUIÇÃO!F31+DISTRIBUIÇÃO!H31-PROD.INDUSTRIA!M7-PROD.INDUSTRIA!M27</f>
        <v>135639.42568848486</v>
      </c>
      <c r="G7" s="79"/>
      <c r="H7" s="57">
        <f>PROD.INDUSTRIA!M7+PROD.INDUSTRIA!M27</f>
        <v>17462.870206307758</v>
      </c>
      <c r="I7" s="80"/>
      <c r="J7" s="348">
        <f t="shared" si="0"/>
        <v>153102.29589479262</v>
      </c>
      <c r="L7" s="50"/>
    </row>
    <row r="8" spans="1:12" x14ac:dyDescent="0.3">
      <c r="A8" s="25"/>
      <c r="B8" s="399">
        <v>46478</v>
      </c>
      <c r="C8" s="32"/>
      <c r="D8" s="12"/>
      <c r="E8" s="61"/>
      <c r="F8" s="62">
        <f>DISTRIBUIÇÃO!F10+DISTRIBUIÇÃO!H10+DISTRIBUIÇÃO!F32+DISTRIBUIÇÃO!H32-PROD.INDUSTRIA!M8-PROD.INDUSTRIA!M28</f>
        <v>147535.64614975476</v>
      </c>
      <c r="G8" s="79"/>
      <c r="H8" s="57">
        <f>PROD.INDUSTRIA!M8+PROD.INDUSTRIA!M28</f>
        <v>20348.144511487892</v>
      </c>
      <c r="I8" s="80"/>
      <c r="J8" s="348">
        <f t="shared" si="0"/>
        <v>167883.79066124265</v>
      </c>
    </row>
    <row r="9" spans="1:12" x14ac:dyDescent="0.3">
      <c r="A9" s="25"/>
      <c r="B9" s="399">
        <v>46508</v>
      </c>
      <c r="C9" s="32"/>
      <c r="D9" s="12"/>
      <c r="E9" s="61"/>
      <c r="F9" s="62">
        <f>DISTRIBUIÇÃO!F11+DISTRIBUIÇÃO!H11+DISTRIBUIÇÃO!F33+DISTRIBUIÇÃO!H33-PROD.INDUSTRIA!M9-PROD.INDUSTRIA!M29</f>
        <v>147747.906605875</v>
      </c>
      <c r="G9" s="79"/>
      <c r="H9" s="57">
        <f>PROD.INDUSTRIA!M9+PROD.INDUSTRIA!M29</f>
        <v>21201.807650425832</v>
      </c>
      <c r="I9" s="80"/>
      <c r="J9" s="348">
        <f t="shared" si="0"/>
        <v>168949.71425630082</v>
      </c>
    </row>
    <row r="10" spans="1:12" x14ac:dyDescent="0.3">
      <c r="A10" s="25"/>
      <c r="B10" s="399">
        <v>46539</v>
      </c>
      <c r="C10" s="32"/>
      <c r="D10" s="12"/>
      <c r="E10" s="61"/>
      <c r="F10" s="62">
        <f>DISTRIBUIÇÃO!F12+DISTRIBUIÇÃO!H12+DISTRIBUIÇÃO!F34+DISTRIBUIÇÃO!H34-PROD.INDUSTRIA!M10-PROD.INDUSTRIA!M30</f>
        <v>150998.56917790242</v>
      </c>
      <c r="G10" s="79"/>
      <c r="H10" s="57">
        <f>PROD.INDUSTRIA!M10+PROD.INDUSTRIA!M30</f>
        <v>21424.078740133678</v>
      </c>
      <c r="I10" s="80"/>
      <c r="J10" s="348">
        <f t="shared" si="0"/>
        <v>172422.64791803609</v>
      </c>
    </row>
    <row r="11" spans="1:12" x14ac:dyDescent="0.3">
      <c r="A11" s="25"/>
      <c r="B11" s="399">
        <v>46569</v>
      </c>
      <c r="C11" s="32"/>
      <c r="D11" s="12"/>
      <c r="E11" s="61"/>
      <c r="F11" s="62">
        <f>DISTRIBUIÇÃO!F13+DISTRIBUIÇÃO!H13+DISTRIBUIÇÃO!F35+DISTRIBUIÇÃO!H35-PROD.INDUSTRIA!M11-PROD.INDUSTRIA!M31</f>
        <v>163188.93760896494</v>
      </c>
      <c r="G11" s="79"/>
      <c r="H11" s="57">
        <f>PROD.INDUSTRIA!M11+PROD.INDUSTRIA!M31</f>
        <v>21811.935511931344</v>
      </c>
      <c r="I11" s="80"/>
      <c r="J11" s="348">
        <f t="shared" si="0"/>
        <v>185000.87312089629</v>
      </c>
    </row>
    <row r="12" spans="1:12" x14ac:dyDescent="0.3">
      <c r="A12" s="25"/>
      <c r="B12" s="399">
        <v>46600</v>
      </c>
      <c r="C12" s="32"/>
      <c r="D12" s="12"/>
      <c r="E12" s="61"/>
      <c r="F12" s="62">
        <f>DISTRIBUIÇÃO!F14+DISTRIBUIÇÃO!H14+DISTRIBUIÇÃO!F36+DISTRIBUIÇÃO!H36-PROD.INDUSTRIA!M12-PROD.INDUSTRIA!M32</f>
        <v>168707.74595394093</v>
      </c>
      <c r="G12" s="79"/>
      <c r="H12" s="57">
        <f>PROD.INDUSTRIA!M12+PROD.INDUSTRIA!M32</f>
        <v>22667.898751887391</v>
      </c>
      <c r="I12" s="80"/>
      <c r="J12" s="348">
        <f t="shared" si="0"/>
        <v>191375.64470582834</v>
      </c>
    </row>
    <row r="13" spans="1:12" x14ac:dyDescent="0.3">
      <c r="A13" s="25"/>
      <c r="B13" s="399">
        <v>46631</v>
      </c>
      <c r="C13" s="32"/>
      <c r="D13" s="12"/>
      <c r="E13" s="61"/>
      <c r="F13" s="62">
        <f>DISTRIBUIÇÃO!F15+DISTRIBUIÇÃO!H15+DISTRIBUIÇÃO!F37+DISTRIBUIÇÃO!H37-PROD.INDUSTRIA!M13-PROD.INDUSTRIA!M33</f>
        <v>177666.19830512314</v>
      </c>
      <c r="G13" s="79"/>
      <c r="H13" s="57">
        <f>PROD.INDUSTRIA!M13+PROD.INDUSTRIA!M33</f>
        <v>21863.284203778541</v>
      </c>
      <c r="I13" s="80"/>
      <c r="J13" s="348">
        <f t="shared" si="0"/>
        <v>199529.48250890168</v>
      </c>
    </row>
    <row r="14" spans="1:12" x14ac:dyDescent="0.3">
      <c r="A14" s="25"/>
      <c r="B14" s="399">
        <v>46661</v>
      </c>
      <c r="C14" s="32"/>
      <c r="D14" s="12"/>
      <c r="E14" s="61"/>
      <c r="F14" s="62">
        <f>DISTRIBUIÇÃO!F16+DISTRIBUIÇÃO!H16+DISTRIBUIÇÃO!F38+DISTRIBUIÇÃO!H38-PROD.INDUSTRIA!M14-PROD.INDUSTRIA!M34</f>
        <v>187627.11865775276</v>
      </c>
      <c r="G14" s="79"/>
      <c r="H14" s="57">
        <f>PROD.INDUSTRIA!M14+PROD.INDUSTRIA!M34</f>
        <v>23083.603511060348</v>
      </c>
      <c r="I14" s="80"/>
      <c r="J14" s="348">
        <f t="shared" si="0"/>
        <v>210710.72216881311</v>
      </c>
    </row>
    <row r="15" spans="1:12" x14ac:dyDescent="0.3">
      <c r="A15" s="25"/>
      <c r="B15" s="399">
        <v>46692</v>
      </c>
      <c r="C15" s="32"/>
      <c r="D15" s="12"/>
      <c r="E15" s="61"/>
      <c r="F15" s="62">
        <f>DISTRIBUIÇÃO!F17+DISTRIBUIÇÃO!H17+DISTRIBUIÇÃO!F39+DISTRIBUIÇÃO!H39-PROD.INDUSTRIA!M15-PROD.INDUSTRIA!M35</f>
        <v>143236.19939595909</v>
      </c>
      <c r="G15" s="79"/>
      <c r="H15" s="57">
        <f>PROD.INDUSTRIA!M15+PROD.INDUSTRIA!M35</f>
        <v>17622.9734098853</v>
      </c>
      <c r="I15" s="80"/>
      <c r="J15" s="348">
        <f t="shared" si="0"/>
        <v>160859.1728058444</v>
      </c>
    </row>
    <row r="16" spans="1:12" x14ac:dyDescent="0.3">
      <c r="A16" s="25"/>
      <c r="B16" s="399">
        <v>46722</v>
      </c>
      <c r="C16" s="32"/>
      <c r="D16" s="12"/>
      <c r="E16" s="61"/>
      <c r="F16" s="62">
        <f>DISTRIBUIÇÃO!F18+DISTRIBUIÇÃO!H18+DISTRIBUIÇÃO!F40+DISTRIBUIÇÃO!H40-PROD.INDUSTRIA!M16-PROD.INDUSTRIA!M36</f>
        <v>69775.537913814595</v>
      </c>
      <c r="G16" s="79"/>
      <c r="H16" s="57">
        <f>PROD.INDUSTRIA!M16+PROD.INDUSTRIA!M36</f>
        <v>9549.7963674043658</v>
      </c>
      <c r="I16" s="80"/>
      <c r="J16" s="348">
        <f t="shared" si="0"/>
        <v>79325.334281218966</v>
      </c>
    </row>
    <row r="17" spans="1:14" x14ac:dyDescent="0.3">
      <c r="A17" s="25"/>
      <c r="B17" s="7"/>
      <c r="C17" s="33"/>
      <c r="D17" s="21"/>
      <c r="E17" s="28"/>
      <c r="F17" s="9"/>
      <c r="G17" s="8"/>
      <c r="H17" s="51"/>
      <c r="I17" s="8"/>
      <c r="J17" s="349"/>
    </row>
    <row r="18" spans="1:14" x14ac:dyDescent="0.3">
      <c r="B18" s="19"/>
      <c r="C18" s="23">
        <f t="shared" ref="C18:D18" si="1">SUM(C5:C17)</f>
        <v>0</v>
      </c>
      <c r="D18" s="24">
        <f t="shared" si="1"/>
        <v>0</v>
      </c>
      <c r="E18" s="81">
        <f t="shared" ref="E18:J18" si="2">SUM(E5:E16)</f>
        <v>0</v>
      </c>
      <c r="F18" s="83">
        <f t="shared" si="2"/>
        <v>1749389.948680077</v>
      </c>
      <c r="G18" s="82">
        <f t="shared" si="2"/>
        <v>0</v>
      </c>
      <c r="H18" s="83">
        <f t="shared" si="2"/>
        <v>229630.36208243188</v>
      </c>
      <c r="I18" s="82">
        <f t="shared" si="2"/>
        <v>0</v>
      </c>
      <c r="J18" s="354">
        <f t="shared" si="2"/>
        <v>1979020.3107625085</v>
      </c>
      <c r="L18" s="84">
        <f>F18+H18+J18</f>
        <v>3958040.6215250175</v>
      </c>
      <c r="M18" s="454">
        <f>E18+G18+I18</f>
        <v>0</v>
      </c>
      <c r="N18" s="455"/>
    </row>
    <row r="19" spans="1:14" x14ac:dyDescent="0.3">
      <c r="B19" s="19" t="s">
        <v>1</v>
      </c>
      <c r="C19" s="4">
        <f t="shared" ref="C19:D19" si="3">C18/12</f>
        <v>0</v>
      </c>
      <c r="D19" s="12">
        <f t="shared" si="3"/>
        <v>0</v>
      </c>
      <c r="E19" s="27"/>
      <c r="F19" s="6"/>
      <c r="G19" s="2"/>
      <c r="H19" s="50"/>
      <c r="I19" s="2"/>
      <c r="J19" s="351">
        <f>L18-D18</f>
        <v>3958040.6215250175</v>
      </c>
    </row>
    <row r="21" spans="1:14" x14ac:dyDescent="0.3">
      <c r="C21" t="s">
        <v>9</v>
      </c>
    </row>
    <row r="22" spans="1:14" x14ac:dyDescent="0.3">
      <c r="D22" t="s">
        <v>14</v>
      </c>
    </row>
    <row r="23" spans="1:14" s="14" customFormat="1" x14ac:dyDescent="0.3">
      <c r="D23" s="158" t="s">
        <v>10</v>
      </c>
      <c r="E23" s="17" t="s">
        <v>11</v>
      </c>
      <c r="F23" s="17" t="s">
        <v>12</v>
      </c>
      <c r="G23" s="18" t="s">
        <v>13</v>
      </c>
      <c r="J23" s="48" t="s">
        <v>29</v>
      </c>
      <c r="K23" s="48"/>
      <c r="L23" s="158" t="s">
        <v>11</v>
      </c>
      <c r="M23" s="17" t="s">
        <v>12</v>
      </c>
      <c r="N23" s="18" t="s">
        <v>13</v>
      </c>
    </row>
    <row r="24" spans="1:14" s="14" customFormat="1" x14ac:dyDescent="0.3">
      <c r="C24" s="48" t="s">
        <v>55</v>
      </c>
      <c r="D24" s="160">
        <v>3</v>
      </c>
      <c r="E24" s="48">
        <v>1</v>
      </c>
      <c r="F24" s="48">
        <v>1</v>
      </c>
      <c r="G24" s="161">
        <v>1</v>
      </c>
      <c r="J24" s="48" t="s">
        <v>39</v>
      </c>
      <c r="K24" s="48"/>
      <c r="L24" s="159">
        <v>1</v>
      </c>
      <c r="M24" s="124">
        <v>1</v>
      </c>
      <c r="N24" s="125">
        <v>1</v>
      </c>
    </row>
    <row r="25" spans="1:14" x14ac:dyDescent="0.3">
      <c r="B25" s="29">
        <v>46388</v>
      </c>
      <c r="C25" s="191">
        <f t="shared" ref="C25:C36" si="4">F5+H5</f>
        <v>136803.71623668689</v>
      </c>
      <c r="D25" s="16">
        <f>C25*$D$24</f>
        <v>410411.14871006063</v>
      </c>
      <c r="E25" s="163">
        <f t="shared" ref="E25:E35" si="5">C26</f>
        <v>153056.91620394689</v>
      </c>
      <c r="F25" s="94">
        <f t="shared" ref="F25:F34" si="6">C27</f>
        <v>153102.29589479262</v>
      </c>
      <c r="G25" s="164">
        <f t="shared" ref="G25:G33" si="7">C28</f>
        <v>167883.79066124265</v>
      </c>
      <c r="I25" s="19"/>
      <c r="J25" s="162" t="s">
        <v>15</v>
      </c>
      <c r="K25" s="16"/>
      <c r="L25" s="163" t="str">
        <f t="shared" ref="L25:L35" si="8">J26</f>
        <v>FEVEREIRO</v>
      </c>
      <c r="M25" s="94" t="str">
        <f t="shared" ref="M25:M34" si="9">J27</f>
        <v>MARÇO</v>
      </c>
      <c r="N25" s="164" t="str">
        <f t="shared" ref="N25:N33" si="10">J28</f>
        <v>ABRIL</v>
      </c>
    </row>
    <row r="26" spans="1:14" x14ac:dyDescent="0.3">
      <c r="B26" s="30">
        <v>46419</v>
      </c>
      <c r="C26" s="67">
        <f t="shared" si="4"/>
        <v>153056.91620394689</v>
      </c>
      <c r="D26" s="6">
        <f t="shared" ref="D26:D36" si="11">C26*$D$24</f>
        <v>459170.74861184065</v>
      </c>
      <c r="E26" s="68">
        <f t="shared" si="5"/>
        <v>153102.29589479262</v>
      </c>
      <c r="F26" s="167">
        <f t="shared" si="6"/>
        <v>167883.79066124265</v>
      </c>
      <c r="G26" s="168">
        <f t="shared" si="7"/>
        <v>168949.71425630082</v>
      </c>
      <c r="H26" s="6"/>
      <c r="I26" s="19"/>
      <c r="J26" s="166" t="s">
        <v>16</v>
      </c>
      <c r="K26" s="6"/>
      <c r="L26" s="68" t="str">
        <f t="shared" si="8"/>
        <v>MARÇO</v>
      </c>
      <c r="M26" s="167" t="str">
        <f t="shared" si="9"/>
        <v>ABRIL</v>
      </c>
      <c r="N26" s="168" t="str">
        <f t="shared" si="10"/>
        <v>MAIO</v>
      </c>
    </row>
    <row r="27" spans="1:14" x14ac:dyDescent="0.3">
      <c r="B27" s="30">
        <v>46447</v>
      </c>
      <c r="C27" s="68">
        <f t="shared" si="4"/>
        <v>153102.29589479262</v>
      </c>
      <c r="D27" s="6">
        <f t="shared" si="11"/>
        <v>459306.88768437784</v>
      </c>
      <c r="E27" s="167">
        <f t="shared" si="5"/>
        <v>167883.79066124265</v>
      </c>
      <c r="F27" s="62">
        <f t="shared" si="6"/>
        <v>168949.71425630082</v>
      </c>
      <c r="G27" s="170">
        <f t="shared" si="7"/>
        <v>172422.64791803609</v>
      </c>
      <c r="H27" s="6"/>
      <c r="I27" s="19"/>
      <c r="J27" s="169" t="s">
        <v>17</v>
      </c>
      <c r="K27" s="6"/>
      <c r="L27" s="167" t="str">
        <f t="shared" si="8"/>
        <v>ABRIL</v>
      </c>
      <c r="M27" s="62" t="str">
        <f t="shared" si="9"/>
        <v>MAIO</v>
      </c>
      <c r="N27" s="170" t="str">
        <f t="shared" si="10"/>
        <v>JUNHO</v>
      </c>
    </row>
    <row r="28" spans="1:14" x14ac:dyDescent="0.3">
      <c r="B28" s="30">
        <v>46478</v>
      </c>
      <c r="C28" s="167">
        <f t="shared" si="4"/>
        <v>167883.79066124265</v>
      </c>
      <c r="D28" s="6">
        <f t="shared" si="11"/>
        <v>503651.37198372791</v>
      </c>
      <c r="E28" s="62">
        <f t="shared" si="5"/>
        <v>168949.71425630082</v>
      </c>
      <c r="F28" s="70">
        <f t="shared" si="6"/>
        <v>172422.64791803609</v>
      </c>
      <c r="G28" s="172">
        <f t="shared" si="7"/>
        <v>185000.87312089629</v>
      </c>
      <c r="H28" s="6"/>
      <c r="I28" s="19"/>
      <c r="J28" s="171" t="s">
        <v>18</v>
      </c>
      <c r="K28" s="6"/>
      <c r="L28" s="62" t="str">
        <f t="shared" si="8"/>
        <v>MAIO</v>
      </c>
      <c r="M28" s="57" t="str">
        <f t="shared" si="9"/>
        <v>JUNHO</v>
      </c>
      <c r="N28" s="172" t="str">
        <f t="shared" si="10"/>
        <v>JULHO</v>
      </c>
    </row>
    <row r="29" spans="1:14" x14ac:dyDescent="0.3">
      <c r="B29" s="30">
        <v>46508</v>
      </c>
      <c r="C29" s="62">
        <f t="shared" si="4"/>
        <v>168949.71425630082</v>
      </c>
      <c r="D29" s="6">
        <f t="shared" si="11"/>
        <v>506849.14276890247</v>
      </c>
      <c r="E29" s="70">
        <f t="shared" si="5"/>
        <v>172422.64791803609</v>
      </c>
      <c r="F29" s="69">
        <f t="shared" si="6"/>
        <v>185000.87312089629</v>
      </c>
      <c r="G29" s="174">
        <f t="shared" si="7"/>
        <v>191375.64470582834</v>
      </c>
      <c r="H29" s="6"/>
      <c r="I29" s="19"/>
      <c r="J29" s="173" t="s">
        <v>19</v>
      </c>
      <c r="K29" s="6"/>
      <c r="L29" s="70" t="str">
        <f t="shared" si="8"/>
        <v>JUNHO</v>
      </c>
      <c r="M29" s="69" t="str">
        <f t="shared" si="9"/>
        <v>JULHO</v>
      </c>
      <c r="N29" s="174" t="str">
        <f t="shared" si="10"/>
        <v>AGOSTO</v>
      </c>
    </row>
    <row r="30" spans="1:14" x14ac:dyDescent="0.3">
      <c r="B30" s="30">
        <v>46539</v>
      </c>
      <c r="C30" s="70">
        <f t="shared" si="4"/>
        <v>172422.64791803609</v>
      </c>
      <c r="D30" s="6">
        <f t="shared" si="11"/>
        <v>517267.94375410827</v>
      </c>
      <c r="E30" s="69">
        <f t="shared" si="5"/>
        <v>185000.87312089629</v>
      </c>
      <c r="F30" s="71">
        <f t="shared" si="6"/>
        <v>191375.64470582834</v>
      </c>
      <c r="G30" s="176">
        <f t="shared" si="7"/>
        <v>199529.48250890168</v>
      </c>
      <c r="H30" s="6"/>
      <c r="I30" s="19"/>
      <c r="J30" s="175" t="s">
        <v>20</v>
      </c>
      <c r="K30" s="6"/>
      <c r="L30" s="69" t="str">
        <f t="shared" si="8"/>
        <v>JULHO</v>
      </c>
      <c r="M30" s="71" t="str">
        <f t="shared" si="9"/>
        <v>AGOSTO</v>
      </c>
      <c r="N30" s="176" t="str">
        <f t="shared" si="10"/>
        <v>SETEMBRO</v>
      </c>
    </row>
    <row r="31" spans="1:14" x14ac:dyDescent="0.3">
      <c r="B31" s="30">
        <v>46569</v>
      </c>
      <c r="C31" s="69">
        <f t="shared" si="4"/>
        <v>185000.87312089629</v>
      </c>
      <c r="D31" s="6">
        <f t="shared" si="11"/>
        <v>555002.61936268886</v>
      </c>
      <c r="E31" s="71">
        <f t="shared" si="5"/>
        <v>191375.64470582834</v>
      </c>
      <c r="F31" s="72">
        <f t="shared" si="6"/>
        <v>199529.48250890168</v>
      </c>
      <c r="G31" s="178">
        <f t="shared" si="7"/>
        <v>210710.72216881311</v>
      </c>
      <c r="H31" s="6"/>
      <c r="I31" s="19"/>
      <c r="J31" s="177" t="s">
        <v>21</v>
      </c>
      <c r="K31" s="6"/>
      <c r="L31" s="71" t="str">
        <f t="shared" si="8"/>
        <v>AGOSTO</v>
      </c>
      <c r="M31" s="72" t="str">
        <f t="shared" si="9"/>
        <v>SETEMBRO</v>
      </c>
      <c r="N31" s="178" t="str">
        <f t="shared" si="10"/>
        <v>OUTUBRO</v>
      </c>
    </row>
    <row r="32" spans="1:14" x14ac:dyDescent="0.3">
      <c r="B32" s="30">
        <v>46600</v>
      </c>
      <c r="C32" s="71">
        <f t="shared" si="4"/>
        <v>191375.64470582834</v>
      </c>
      <c r="D32" s="6">
        <f t="shared" si="11"/>
        <v>574126.93411748507</v>
      </c>
      <c r="E32" s="72">
        <f t="shared" si="5"/>
        <v>199529.48250890168</v>
      </c>
      <c r="F32" s="76">
        <f t="shared" si="6"/>
        <v>210710.72216881311</v>
      </c>
      <c r="G32" s="180">
        <f t="shared" si="7"/>
        <v>160859.1728058444</v>
      </c>
      <c r="H32" s="6"/>
      <c r="I32" s="19"/>
      <c r="J32" s="179" t="s">
        <v>22</v>
      </c>
      <c r="K32" s="6"/>
      <c r="L32" s="72" t="str">
        <f t="shared" si="8"/>
        <v>SETEMBRO</v>
      </c>
      <c r="M32" s="76" t="str">
        <f t="shared" si="9"/>
        <v>OUTUBRO</v>
      </c>
      <c r="N32" s="180" t="str">
        <f t="shared" si="10"/>
        <v>NOVEMBRO</v>
      </c>
    </row>
    <row r="33" spans="2:14" x14ac:dyDescent="0.3">
      <c r="B33" s="30">
        <v>46631</v>
      </c>
      <c r="C33" s="72">
        <f t="shared" si="4"/>
        <v>199529.48250890168</v>
      </c>
      <c r="D33" s="6">
        <f t="shared" si="11"/>
        <v>598588.44752670499</v>
      </c>
      <c r="E33" s="76">
        <f t="shared" si="5"/>
        <v>210710.72216881311</v>
      </c>
      <c r="F33" s="73">
        <f t="shared" si="6"/>
        <v>160859.1728058444</v>
      </c>
      <c r="G33" s="182">
        <f t="shared" si="7"/>
        <v>79325.334281218966</v>
      </c>
      <c r="H33" s="6"/>
      <c r="I33" s="19"/>
      <c r="J33" s="181" t="s">
        <v>23</v>
      </c>
      <c r="K33" s="6"/>
      <c r="L33" s="76" t="str">
        <f t="shared" si="8"/>
        <v>OUTUBRO</v>
      </c>
      <c r="M33" s="73" t="str">
        <f t="shared" si="9"/>
        <v>NOVEMBRO</v>
      </c>
      <c r="N33" s="182" t="str">
        <f t="shared" si="10"/>
        <v>DEZEMBRO</v>
      </c>
    </row>
    <row r="34" spans="2:14" x14ac:dyDescent="0.3">
      <c r="B34" s="30">
        <v>46661</v>
      </c>
      <c r="C34" s="76">
        <f t="shared" si="4"/>
        <v>210710.72216881311</v>
      </c>
      <c r="D34" s="6">
        <f t="shared" si="11"/>
        <v>632132.16650643933</v>
      </c>
      <c r="E34" s="73">
        <f t="shared" si="5"/>
        <v>160859.1728058444</v>
      </c>
      <c r="F34" s="74">
        <f t="shared" si="6"/>
        <v>79325.334281218966</v>
      </c>
      <c r="G34" s="184">
        <f>C25</f>
        <v>136803.71623668689</v>
      </c>
      <c r="H34" s="6"/>
      <c r="I34" s="19"/>
      <c r="J34" s="183" t="s">
        <v>24</v>
      </c>
      <c r="K34" s="6"/>
      <c r="L34" s="73" t="str">
        <f t="shared" si="8"/>
        <v>NOVEMBRO</v>
      </c>
      <c r="M34" s="74" t="str">
        <f t="shared" si="9"/>
        <v>DEZEMBRO</v>
      </c>
      <c r="N34" s="184" t="str">
        <f>J25</f>
        <v>JANEIRO</v>
      </c>
    </row>
    <row r="35" spans="2:14" x14ac:dyDescent="0.3">
      <c r="B35" s="30">
        <v>46692</v>
      </c>
      <c r="C35" s="73">
        <f t="shared" si="4"/>
        <v>160859.1728058444</v>
      </c>
      <c r="D35" s="6">
        <f t="shared" si="11"/>
        <v>482577.5184175332</v>
      </c>
      <c r="E35" s="74">
        <f t="shared" si="5"/>
        <v>79325.334281218966</v>
      </c>
      <c r="F35" s="75">
        <f>C25</f>
        <v>136803.71623668689</v>
      </c>
      <c r="G35" s="186">
        <f>C26</f>
        <v>153056.91620394689</v>
      </c>
      <c r="H35" s="6"/>
      <c r="I35" s="19"/>
      <c r="J35" s="185" t="s">
        <v>25</v>
      </c>
      <c r="K35" s="6"/>
      <c r="L35" s="74" t="str">
        <f t="shared" si="8"/>
        <v>DEZEMBRO</v>
      </c>
      <c r="M35" s="75" t="str">
        <f>J25</f>
        <v>JANEIRO</v>
      </c>
      <c r="N35" s="186" t="str">
        <f>J26</f>
        <v>FEVEREIRO</v>
      </c>
    </row>
    <row r="36" spans="2:14" x14ac:dyDescent="0.3">
      <c r="B36" s="152">
        <v>46722</v>
      </c>
      <c r="C36" s="192">
        <f t="shared" si="4"/>
        <v>79325.334281218966</v>
      </c>
      <c r="D36" s="9">
        <f t="shared" si="11"/>
        <v>237976.0028436569</v>
      </c>
      <c r="E36" s="188">
        <f>C25</f>
        <v>136803.71623668689</v>
      </c>
      <c r="F36" s="189">
        <f>C26</f>
        <v>153056.91620394689</v>
      </c>
      <c r="G36" s="190">
        <f>C27</f>
        <v>153102.29589479262</v>
      </c>
      <c r="H36" s="6"/>
      <c r="I36" s="19"/>
      <c r="J36" s="187" t="s">
        <v>26</v>
      </c>
      <c r="K36" s="9"/>
      <c r="L36" s="188" t="str">
        <f>J25</f>
        <v>JANEIRO</v>
      </c>
      <c r="M36" s="189" t="str">
        <f>J26</f>
        <v>FEVEREIRO</v>
      </c>
      <c r="N36" s="190" t="str">
        <f>J27</f>
        <v>MARÇO</v>
      </c>
    </row>
    <row r="37" spans="2:14" x14ac:dyDescent="0.3">
      <c r="C37" s="50">
        <f>SUM(C25:C36)</f>
        <v>1979020.3107625085</v>
      </c>
    </row>
  </sheetData>
  <mergeCells count="8">
    <mergeCell ref="M18:N18"/>
    <mergeCell ref="C1:J1"/>
    <mergeCell ref="E3:F3"/>
    <mergeCell ref="G3:H3"/>
    <mergeCell ref="I3:J3"/>
    <mergeCell ref="E4:F4"/>
    <mergeCell ref="G4:H4"/>
    <mergeCell ref="I4:J4"/>
  </mergeCells>
  <conditionalFormatting sqref="C5:C16">
    <cfRule type="top10" dxfId="8" priority="2" rank="3"/>
  </conditionalFormatting>
  <pageMargins left="0" right="0" top="0.25" bottom="0.25" header="0.3" footer="0.3"/>
  <pageSetup paperSize="9" scale="43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48207-6806-0448-9F9A-491E29D6B3AC}">
  <sheetPr>
    <tabColor rgb="FFFF40FF"/>
    <pageSetUpPr fitToPage="1"/>
  </sheetPr>
  <dimension ref="B2:O48"/>
  <sheetViews>
    <sheetView zoomScale="70" zoomScaleNormal="70" workbookViewId="0">
      <selection activeCell="M6" sqref="M6:N6"/>
    </sheetView>
  </sheetViews>
  <sheetFormatPr defaultColWidth="11.19921875" defaultRowHeight="15.6" x14ac:dyDescent="0.3"/>
  <cols>
    <col min="2" max="2" width="2.796875" customWidth="1"/>
    <col min="4" max="8" width="16.796875" customWidth="1"/>
    <col min="9" max="9" width="3.296875" customWidth="1"/>
    <col min="10" max="10" width="17.296875" customWidth="1"/>
    <col min="11" max="11" width="3" customWidth="1"/>
    <col min="12" max="14" width="15" customWidth="1"/>
    <col min="15" max="15" width="8.5" style="1" customWidth="1"/>
  </cols>
  <sheetData>
    <row r="2" spans="2:15" ht="21" x14ac:dyDescent="0.4">
      <c r="D2" s="448" t="s">
        <v>28</v>
      </c>
      <c r="E2" s="449"/>
      <c r="F2" s="449"/>
      <c r="G2" s="449"/>
      <c r="H2" s="450"/>
      <c r="I2" s="118"/>
      <c r="J2" s="118"/>
    </row>
    <row r="3" spans="2:15" x14ac:dyDescent="0.3">
      <c r="D3" s="52">
        <f>D19</f>
        <v>5541256.8701350242</v>
      </c>
      <c r="E3" s="53"/>
      <c r="F3" s="53"/>
      <c r="G3" s="53"/>
      <c r="H3" s="121"/>
      <c r="I3" s="48"/>
      <c r="J3" s="119"/>
    </row>
    <row r="4" spans="2:15" x14ac:dyDescent="0.3">
      <c r="C4" t="s">
        <v>51</v>
      </c>
      <c r="D4" s="332">
        <v>2.8</v>
      </c>
      <c r="E4" s="115"/>
      <c r="F4" s="290"/>
      <c r="G4" s="290"/>
      <c r="H4" s="311"/>
      <c r="I4" s="120"/>
      <c r="J4" s="120"/>
    </row>
    <row r="5" spans="2:15" s="14" customFormat="1" x14ac:dyDescent="0.3">
      <c r="C5" s="63"/>
      <c r="D5" s="122" t="s">
        <v>2</v>
      </c>
      <c r="E5" s="123" t="s">
        <v>0</v>
      </c>
      <c r="F5" s="300" t="s">
        <v>11</v>
      </c>
      <c r="G5" s="124" t="s">
        <v>12</v>
      </c>
      <c r="H5" s="125" t="s">
        <v>13</v>
      </c>
      <c r="I5" s="115"/>
      <c r="J5" s="115"/>
      <c r="O5" s="48"/>
    </row>
    <row r="6" spans="2:15" x14ac:dyDescent="0.3">
      <c r="B6" s="25"/>
      <c r="C6" s="93">
        <v>46388</v>
      </c>
      <c r="D6" s="233">
        <f>E6*$D$4</f>
        <v>383050.40546272328</v>
      </c>
      <c r="E6" s="38" cm="1">
        <f t="array" ref="E6:E17">DISTRIBUIÇÃO!C70:C81</f>
        <v>136803.71623668689</v>
      </c>
      <c r="F6" s="100">
        <f>F26</f>
        <v>428559.3653710513</v>
      </c>
      <c r="G6" s="234">
        <f>G26</f>
        <v>428686.4285054194</v>
      </c>
      <c r="H6" s="235">
        <f>H26</f>
        <v>470074.61385147943</v>
      </c>
      <c r="I6" s="116"/>
      <c r="J6" s="333">
        <v>46113</v>
      </c>
      <c r="L6" s="331">
        <f>F6+G6+H6</f>
        <v>1327320.4077279503</v>
      </c>
      <c r="M6" s="466"/>
      <c r="N6" s="466"/>
    </row>
    <row r="7" spans="2:15" x14ac:dyDescent="0.3">
      <c r="B7" s="25"/>
      <c r="C7" s="96">
        <v>46419</v>
      </c>
      <c r="D7" s="236">
        <f t="shared" ref="D7:D17" si="0">E7*$D$4</f>
        <v>428559.3653710513</v>
      </c>
      <c r="E7" s="39">
        <v>153056.91620394689</v>
      </c>
      <c r="F7" s="101">
        <f>F28</f>
        <v>428686.4285054194</v>
      </c>
      <c r="G7" s="237">
        <f>G28</f>
        <v>470074.61385147943</v>
      </c>
      <c r="H7" s="238">
        <f>H28</f>
        <v>473059.19991764246</v>
      </c>
      <c r="I7" s="116"/>
      <c r="J7" s="334">
        <v>46143</v>
      </c>
      <c r="L7" s="331">
        <f t="shared" ref="L7:L17" si="1">F7+G7+H7</f>
        <v>1371820.2422745412</v>
      </c>
      <c r="M7" s="466"/>
      <c r="N7" s="466"/>
    </row>
    <row r="8" spans="2:15" x14ac:dyDescent="0.3">
      <c r="B8" s="25"/>
      <c r="C8" s="95">
        <v>46447</v>
      </c>
      <c r="D8" s="236">
        <f t="shared" si="0"/>
        <v>428686.4285054194</v>
      </c>
      <c r="E8" s="39">
        <v>153102.29589479265</v>
      </c>
      <c r="F8" s="102">
        <f>F30</f>
        <v>470074.61385147943</v>
      </c>
      <c r="G8" s="239">
        <f>G30</f>
        <v>473059.19991764246</v>
      </c>
      <c r="H8" s="240">
        <f>H30</f>
        <v>482783.414170501</v>
      </c>
      <c r="I8" s="116"/>
      <c r="J8" s="335">
        <v>46174</v>
      </c>
      <c r="L8" s="331">
        <f t="shared" si="1"/>
        <v>1425917.2279396229</v>
      </c>
    </row>
    <row r="9" spans="2:15" x14ac:dyDescent="0.3">
      <c r="B9" s="25"/>
      <c r="C9" s="89">
        <v>46478</v>
      </c>
      <c r="D9" s="236">
        <f t="shared" si="0"/>
        <v>470074.61385147943</v>
      </c>
      <c r="E9" s="39">
        <v>167883.79066124267</v>
      </c>
      <c r="F9" s="103">
        <f>F32</f>
        <v>473059.19991764246</v>
      </c>
      <c r="G9" s="241">
        <f>G32</f>
        <v>482783.414170501</v>
      </c>
      <c r="H9" s="242">
        <f>H32</f>
        <v>518002.44473850954</v>
      </c>
      <c r="I9" s="116"/>
      <c r="J9" s="336">
        <v>46204</v>
      </c>
      <c r="L9" s="331">
        <f t="shared" si="1"/>
        <v>1473845.0588266531</v>
      </c>
    </row>
    <row r="10" spans="2:15" x14ac:dyDescent="0.3">
      <c r="B10" s="25"/>
      <c r="C10" s="88">
        <v>46508</v>
      </c>
      <c r="D10" s="236">
        <f t="shared" si="0"/>
        <v>473059.19991764246</v>
      </c>
      <c r="E10" s="39">
        <v>168949.71425630088</v>
      </c>
      <c r="F10" s="104">
        <f>F34</f>
        <v>482783.414170501</v>
      </c>
      <c r="G10" s="243">
        <f>G34</f>
        <v>518002.44473850954</v>
      </c>
      <c r="H10" s="244">
        <f>H34</f>
        <v>535851.80517631921</v>
      </c>
      <c r="I10" s="116"/>
      <c r="J10" s="337">
        <v>46235</v>
      </c>
      <c r="L10" s="331">
        <f t="shared" si="1"/>
        <v>1536637.6640853297</v>
      </c>
    </row>
    <row r="11" spans="2:15" x14ac:dyDescent="0.3">
      <c r="B11" s="25"/>
      <c r="C11" s="97">
        <v>46539</v>
      </c>
      <c r="D11" s="236">
        <f t="shared" si="0"/>
        <v>482783.414170501</v>
      </c>
      <c r="E11" s="39">
        <v>172422.64791803609</v>
      </c>
      <c r="F11" s="105">
        <f>F36</f>
        <v>518002.44473850954</v>
      </c>
      <c r="G11" s="245">
        <f>G36</f>
        <v>535851.80517631921</v>
      </c>
      <c r="H11" s="246">
        <f>H36</f>
        <v>558682.55102492461</v>
      </c>
      <c r="I11" s="116"/>
      <c r="J11" s="338">
        <v>46266</v>
      </c>
      <c r="L11" s="331">
        <f t="shared" si="1"/>
        <v>1612536.8009397532</v>
      </c>
    </row>
    <row r="12" spans="2:15" x14ac:dyDescent="0.3">
      <c r="B12" s="25"/>
      <c r="C12" s="87">
        <v>46569</v>
      </c>
      <c r="D12" s="236">
        <f t="shared" si="0"/>
        <v>518002.44473850954</v>
      </c>
      <c r="E12" s="39">
        <v>185000.87312089629</v>
      </c>
      <c r="F12" s="106">
        <f>F38</f>
        <v>535851.80517631921</v>
      </c>
      <c r="G12" s="247">
        <f>G38</f>
        <v>558682.55102492461</v>
      </c>
      <c r="H12" s="248">
        <f>H38</f>
        <v>589990.02207267657</v>
      </c>
      <c r="I12" s="116"/>
      <c r="J12" s="339">
        <v>46296</v>
      </c>
      <c r="L12" s="331">
        <f t="shared" si="1"/>
        <v>1684524.3782739204</v>
      </c>
    </row>
    <row r="13" spans="2:15" x14ac:dyDescent="0.3">
      <c r="B13" s="25"/>
      <c r="C13" s="98">
        <v>46600</v>
      </c>
      <c r="D13" s="236">
        <f t="shared" si="0"/>
        <v>535851.80517631921</v>
      </c>
      <c r="E13" s="39">
        <v>191375.64470582831</v>
      </c>
      <c r="F13" s="107">
        <f>F40</f>
        <v>558682.55102492461</v>
      </c>
      <c r="G13" s="249">
        <f>G40</f>
        <v>589990.02207267657</v>
      </c>
      <c r="H13" s="250">
        <f>H40</f>
        <v>450405.68385636428</v>
      </c>
      <c r="I13" s="116"/>
      <c r="J13" s="340">
        <v>46327</v>
      </c>
      <c r="L13" s="331">
        <f t="shared" si="1"/>
        <v>1599078.2569539654</v>
      </c>
    </row>
    <row r="14" spans="2:15" x14ac:dyDescent="0.3">
      <c r="B14" s="25"/>
      <c r="C14" s="99">
        <v>46631</v>
      </c>
      <c r="D14" s="236">
        <f t="shared" si="0"/>
        <v>558682.55102492461</v>
      </c>
      <c r="E14" s="39">
        <v>199529.48250890168</v>
      </c>
      <c r="F14" s="108">
        <f>F42</f>
        <v>589990.02207267657</v>
      </c>
      <c r="G14" s="251">
        <f>G42</f>
        <v>450405.68385636428</v>
      </c>
      <c r="H14" s="252">
        <f>H42</f>
        <v>222110.9359874131</v>
      </c>
      <c r="I14" s="116"/>
      <c r="J14" s="341">
        <v>46357</v>
      </c>
      <c r="L14" s="331">
        <f t="shared" si="1"/>
        <v>1262506.6419164541</v>
      </c>
    </row>
    <row r="15" spans="2:15" x14ac:dyDescent="0.3">
      <c r="B15" s="25"/>
      <c r="C15" s="92">
        <v>46661</v>
      </c>
      <c r="D15" s="236">
        <f t="shared" si="0"/>
        <v>589990.02207267657</v>
      </c>
      <c r="E15" s="39">
        <v>210710.72216881308</v>
      </c>
      <c r="F15" s="109">
        <f>F44</f>
        <v>450405.68385636428</v>
      </c>
      <c r="G15" s="253">
        <f>G44</f>
        <v>222110.9359874131</v>
      </c>
      <c r="H15" s="254">
        <f>H44</f>
        <v>383050.40546272328</v>
      </c>
      <c r="I15" s="117"/>
      <c r="J15" s="342">
        <v>46388</v>
      </c>
      <c r="L15" s="331">
        <f t="shared" si="1"/>
        <v>1055567.0253065007</v>
      </c>
    </row>
    <row r="16" spans="2:15" x14ac:dyDescent="0.3">
      <c r="B16" s="25"/>
      <c r="C16" s="91">
        <v>46692</v>
      </c>
      <c r="D16" s="236">
        <f t="shared" si="0"/>
        <v>450405.68385636428</v>
      </c>
      <c r="E16" s="39">
        <v>160859.1728058444</v>
      </c>
      <c r="F16" s="110">
        <f>F46</f>
        <v>222110.9359874131</v>
      </c>
      <c r="G16" s="255">
        <f>G46</f>
        <v>383050.40546272328</v>
      </c>
      <c r="H16" s="256">
        <f>H46</f>
        <v>428559.3653710513</v>
      </c>
      <c r="I16" s="117"/>
      <c r="J16" s="343">
        <v>46419</v>
      </c>
      <c r="L16" s="331">
        <f t="shared" si="1"/>
        <v>1033720.7068211876</v>
      </c>
    </row>
    <row r="17" spans="2:15" x14ac:dyDescent="0.3">
      <c r="B17" s="25"/>
      <c r="C17" s="90">
        <v>46722</v>
      </c>
      <c r="D17" s="236">
        <f t="shared" si="0"/>
        <v>222110.9359874131</v>
      </c>
      <c r="E17" s="39">
        <v>79325.334281218966</v>
      </c>
      <c r="F17" s="111">
        <f>F48</f>
        <v>383050.40546272328</v>
      </c>
      <c r="G17" s="257">
        <f>G48</f>
        <v>428559.3653710513</v>
      </c>
      <c r="H17" s="258">
        <f>H48</f>
        <v>428686.4285054194</v>
      </c>
      <c r="I17" s="117"/>
      <c r="J17" s="344">
        <v>46447</v>
      </c>
      <c r="L17" s="331">
        <f t="shared" si="1"/>
        <v>1240296.199339194</v>
      </c>
    </row>
    <row r="18" spans="2:15" x14ac:dyDescent="0.3">
      <c r="B18" s="25"/>
      <c r="C18" s="7"/>
      <c r="D18" s="259"/>
      <c r="E18" s="260"/>
      <c r="F18" s="112"/>
      <c r="G18" s="261"/>
      <c r="H18" s="262"/>
      <c r="I18" s="50"/>
      <c r="J18" s="50"/>
    </row>
    <row r="19" spans="2:15" x14ac:dyDescent="0.3">
      <c r="C19" s="19"/>
      <c r="D19" s="85">
        <f t="shared" ref="D19:E19" si="2">SUM(D6:D18)</f>
        <v>5541256.8701350242</v>
      </c>
      <c r="E19" s="24">
        <f t="shared" si="2"/>
        <v>1979020.3107625088</v>
      </c>
      <c r="F19" s="114">
        <f t="shared" ref="F19:H19" si="3">SUM(F6:F17)</f>
        <v>5541256.8701350242</v>
      </c>
      <c r="G19" s="263">
        <f t="shared" si="3"/>
        <v>5541256.8701350233</v>
      </c>
      <c r="H19" s="264">
        <f t="shared" si="3"/>
        <v>5541256.8701350242</v>
      </c>
      <c r="I19" s="6"/>
      <c r="J19" s="6"/>
      <c r="L19" s="50"/>
      <c r="M19" s="465"/>
      <c r="N19" s="426"/>
    </row>
    <row r="20" spans="2:15" x14ac:dyDescent="0.3">
      <c r="C20" s="19" t="s">
        <v>1</v>
      </c>
      <c r="D20" s="236">
        <f t="shared" ref="D20:E20" si="4">D19/12</f>
        <v>461771.40584458533</v>
      </c>
      <c r="E20" s="39">
        <f t="shared" si="4"/>
        <v>164918.35923020905</v>
      </c>
      <c r="F20" s="27"/>
      <c r="G20" s="265"/>
      <c r="H20" s="266"/>
      <c r="I20" s="50"/>
      <c r="J20" s="50"/>
    </row>
    <row r="22" spans="2:15" x14ac:dyDescent="0.3">
      <c r="D22" t="s">
        <v>9</v>
      </c>
    </row>
    <row r="23" spans="2:15" x14ac:dyDescent="0.3">
      <c r="E23" t="s">
        <v>14</v>
      </c>
    </row>
    <row r="24" spans="2:15" s="14" customFormat="1" x14ac:dyDescent="0.3">
      <c r="E24" s="158" t="s">
        <v>10</v>
      </c>
      <c r="F24" s="17" t="s">
        <v>11</v>
      </c>
      <c r="G24" s="17" t="s">
        <v>12</v>
      </c>
      <c r="H24" s="18" t="s">
        <v>13</v>
      </c>
      <c r="J24" s="48" t="s">
        <v>29</v>
      </c>
      <c r="K24" s="48"/>
      <c r="L24" s="158" t="s">
        <v>11</v>
      </c>
      <c r="M24" s="17" t="s">
        <v>12</v>
      </c>
      <c r="N24" s="18" t="s">
        <v>13</v>
      </c>
      <c r="O24" s="48"/>
    </row>
    <row r="25" spans="2:15" s="14" customFormat="1" x14ac:dyDescent="0.3">
      <c r="D25" s="48" t="s">
        <v>55</v>
      </c>
      <c r="E25" s="159">
        <v>3</v>
      </c>
      <c r="F25" s="124">
        <v>1</v>
      </c>
      <c r="G25" s="124">
        <v>1</v>
      </c>
      <c r="H25" s="125">
        <v>1</v>
      </c>
      <c r="J25" s="48" t="s">
        <v>39</v>
      </c>
      <c r="K25" s="48"/>
      <c r="L25" s="160">
        <v>1</v>
      </c>
      <c r="M25" s="48">
        <v>1</v>
      </c>
      <c r="N25" s="161">
        <v>1</v>
      </c>
      <c r="O25" s="48"/>
    </row>
    <row r="26" spans="2:15" x14ac:dyDescent="0.3">
      <c r="C26" s="29">
        <v>46388</v>
      </c>
      <c r="D26" s="137">
        <f>D6</f>
        <v>383050.40546272328</v>
      </c>
      <c r="E26" s="138">
        <f>D26*$E$25</f>
        <v>1149151.2163881699</v>
      </c>
      <c r="F26" s="135">
        <f>D28</f>
        <v>428559.3653710513</v>
      </c>
      <c r="G26" s="140">
        <f>D30</f>
        <v>428686.4285054194</v>
      </c>
      <c r="H26" s="157">
        <f>D32</f>
        <v>470074.61385147943</v>
      </c>
      <c r="I26" s="6"/>
      <c r="J26" s="162" t="s">
        <v>15</v>
      </c>
      <c r="K26" s="16"/>
      <c r="L26" s="163" t="str">
        <f>J28</f>
        <v>FEVEREIRO</v>
      </c>
      <c r="M26" s="94" t="str">
        <f>J30</f>
        <v>MARÇO</v>
      </c>
      <c r="N26" s="164" t="str">
        <f>J32</f>
        <v>ABRIL</v>
      </c>
    </row>
    <row r="27" spans="2:15" x14ac:dyDescent="0.3">
      <c r="C27" s="5"/>
      <c r="D27" s="138"/>
      <c r="E27" s="138"/>
      <c r="F27" s="138"/>
      <c r="G27" s="138"/>
      <c r="H27" s="139"/>
      <c r="I27" s="6"/>
      <c r="J27" s="165"/>
      <c r="K27" s="6"/>
      <c r="L27" s="6"/>
      <c r="M27" s="6"/>
      <c r="N27" s="11"/>
    </row>
    <row r="28" spans="2:15" x14ac:dyDescent="0.3">
      <c r="C28" s="30">
        <v>46419</v>
      </c>
      <c r="D28" s="135">
        <f>D7</f>
        <v>428559.3653710513</v>
      </c>
      <c r="E28" s="138">
        <f t="shared" ref="E28:E48" si="5">D28*$E$25</f>
        <v>1285678.096113154</v>
      </c>
      <c r="F28" s="140">
        <f>D30</f>
        <v>428686.4285054194</v>
      </c>
      <c r="G28" s="126">
        <f>D32</f>
        <v>470074.61385147943</v>
      </c>
      <c r="H28" s="141">
        <f>D34</f>
        <v>473059.19991764246</v>
      </c>
      <c r="I28" s="6"/>
      <c r="J28" s="166" t="s">
        <v>16</v>
      </c>
      <c r="K28" s="6"/>
      <c r="L28" s="68" t="str">
        <f>J30</f>
        <v>MARÇO</v>
      </c>
      <c r="M28" s="167" t="str">
        <f>J32</f>
        <v>ABRIL</v>
      </c>
      <c r="N28" s="168" t="str">
        <f>J34</f>
        <v>MAIO</v>
      </c>
    </row>
    <row r="29" spans="2:15" x14ac:dyDescent="0.3">
      <c r="C29" s="5"/>
      <c r="D29" s="138"/>
      <c r="E29" s="138"/>
      <c r="F29" s="138"/>
      <c r="G29" s="138"/>
      <c r="H29" s="139"/>
      <c r="I29" s="6"/>
      <c r="J29" s="165"/>
      <c r="K29" s="6"/>
      <c r="L29" s="6"/>
      <c r="M29" s="6"/>
      <c r="N29" s="11"/>
    </row>
    <row r="30" spans="2:15" x14ac:dyDescent="0.3">
      <c r="C30" s="30">
        <v>46447</v>
      </c>
      <c r="D30" s="140">
        <f>D8</f>
        <v>428686.4285054194</v>
      </c>
      <c r="E30" s="138">
        <f t="shared" si="5"/>
        <v>1286059.2855162583</v>
      </c>
      <c r="F30" s="126">
        <f>D32</f>
        <v>470074.61385147943</v>
      </c>
      <c r="G30" s="127">
        <f>D34</f>
        <v>473059.19991764246</v>
      </c>
      <c r="H30" s="142">
        <f>D36</f>
        <v>482783.414170501</v>
      </c>
      <c r="I30" s="6"/>
      <c r="J30" s="169" t="s">
        <v>17</v>
      </c>
      <c r="K30" s="6"/>
      <c r="L30" s="167" t="str">
        <f>J32</f>
        <v>ABRIL</v>
      </c>
      <c r="M30" s="62" t="str">
        <f>J34</f>
        <v>MAIO</v>
      </c>
      <c r="N30" s="170" t="str">
        <f>J36</f>
        <v>JUNHO</v>
      </c>
    </row>
    <row r="31" spans="2:15" x14ac:dyDescent="0.3">
      <c r="C31" s="5"/>
      <c r="D31" s="138"/>
      <c r="E31" s="138"/>
      <c r="F31" s="138"/>
      <c r="G31" s="138"/>
      <c r="H31" s="139"/>
      <c r="I31" s="6"/>
      <c r="J31" s="165"/>
      <c r="K31" s="6"/>
      <c r="L31" s="6"/>
      <c r="M31" s="6"/>
      <c r="N31" s="11"/>
    </row>
    <row r="32" spans="2:15" x14ac:dyDescent="0.3">
      <c r="C32" s="30">
        <v>46478</v>
      </c>
      <c r="D32" s="126">
        <f>D9</f>
        <v>470074.61385147943</v>
      </c>
      <c r="E32" s="138">
        <f t="shared" si="5"/>
        <v>1410223.8415544382</v>
      </c>
      <c r="F32" s="127">
        <f>D34</f>
        <v>473059.19991764246</v>
      </c>
      <c r="G32" s="128">
        <f>D36</f>
        <v>482783.414170501</v>
      </c>
      <c r="H32" s="143">
        <f>D38</f>
        <v>518002.44473850954</v>
      </c>
      <c r="I32" s="6"/>
      <c r="J32" s="171" t="s">
        <v>18</v>
      </c>
      <c r="K32" s="6"/>
      <c r="L32" s="62" t="str">
        <f>J34</f>
        <v>MAIO</v>
      </c>
      <c r="M32" s="57" t="str">
        <f>J36</f>
        <v>JUNHO</v>
      </c>
      <c r="N32" s="172" t="str">
        <f>J38</f>
        <v>JULHO</v>
      </c>
    </row>
    <row r="33" spans="3:15" x14ac:dyDescent="0.3">
      <c r="C33" s="5"/>
      <c r="D33" s="138"/>
      <c r="E33" s="138"/>
      <c r="F33" s="138"/>
      <c r="G33" s="138"/>
      <c r="H33" s="139"/>
      <c r="I33" s="6"/>
      <c r="J33" s="165"/>
      <c r="K33" s="6"/>
      <c r="L33" s="6"/>
      <c r="M33" s="6"/>
      <c r="N33" s="11"/>
    </row>
    <row r="34" spans="3:15" x14ac:dyDescent="0.3">
      <c r="C34" s="30">
        <v>46508</v>
      </c>
      <c r="D34" s="127">
        <f>D10</f>
        <v>473059.19991764246</v>
      </c>
      <c r="E34" s="138">
        <f t="shared" si="5"/>
        <v>1419177.5997529274</v>
      </c>
      <c r="F34" s="128">
        <f>D36</f>
        <v>482783.414170501</v>
      </c>
      <c r="G34" s="129">
        <f>D38</f>
        <v>518002.44473850954</v>
      </c>
      <c r="H34" s="144">
        <f>D40</f>
        <v>535851.80517631921</v>
      </c>
      <c r="I34" s="6"/>
      <c r="J34" s="173" t="s">
        <v>19</v>
      </c>
      <c r="K34" s="6"/>
      <c r="L34" s="70" t="str">
        <f>J36</f>
        <v>JUNHO</v>
      </c>
      <c r="M34" s="69" t="str">
        <f>J38</f>
        <v>JULHO</v>
      </c>
      <c r="N34" s="174" t="str">
        <f>J40</f>
        <v>AGOSTO</v>
      </c>
    </row>
    <row r="35" spans="3:15" x14ac:dyDescent="0.3">
      <c r="C35" s="5"/>
      <c r="D35" s="138"/>
      <c r="E35" s="138"/>
      <c r="F35" s="138"/>
      <c r="G35" s="138"/>
      <c r="H35" s="139"/>
      <c r="I35" s="6"/>
      <c r="J35" s="165"/>
      <c r="K35" s="6"/>
      <c r="L35" s="6"/>
      <c r="M35" s="6"/>
      <c r="N35" s="11"/>
    </row>
    <row r="36" spans="3:15" x14ac:dyDescent="0.3">
      <c r="C36" s="30">
        <v>46539</v>
      </c>
      <c r="D36" s="128">
        <f>D11</f>
        <v>482783.414170501</v>
      </c>
      <c r="E36" s="138">
        <f t="shared" si="5"/>
        <v>1448350.2425115029</v>
      </c>
      <c r="F36" s="129">
        <f>D38</f>
        <v>518002.44473850954</v>
      </c>
      <c r="G36" s="130">
        <f>D40</f>
        <v>535851.80517631921</v>
      </c>
      <c r="H36" s="145">
        <f>D42</f>
        <v>558682.55102492461</v>
      </c>
      <c r="I36" s="6"/>
      <c r="J36" s="175" t="s">
        <v>20</v>
      </c>
      <c r="K36" s="6"/>
      <c r="L36" s="69" t="str">
        <f>J38</f>
        <v>JULHO</v>
      </c>
      <c r="M36" s="71" t="str">
        <f>J40</f>
        <v>AGOSTO</v>
      </c>
      <c r="N36" s="176" t="str">
        <f>J42</f>
        <v>SETEMBRO</v>
      </c>
    </row>
    <row r="37" spans="3:15" x14ac:dyDescent="0.3">
      <c r="C37" s="5"/>
      <c r="D37" s="138"/>
      <c r="E37" s="138"/>
      <c r="F37" s="138"/>
      <c r="G37" s="138"/>
      <c r="H37" s="139"/>
      <c r="I37" s="6"/>
      <c r="J37" s="165"/>
      <c r="K37" s="6"/>
      <c r="L37" s="6"/>
      <c r="M37" s="6"/>
      <c r="N37" s="11"/>
    </row>
    <row r="38" spans="3:15" x14ac:dyDescent="0.3">
      <c r="C38" s="30">
        <v>46569</v>
      </c>
      <c r="D38" s="129">
        <f>D12</f>
        <v>518002.44473850954</v>
      </c>
      <c r="E38" s="138">
        <f t="shared" si="5"/>
        <v>1554007.3342155286</v>
      </c>
      <c r="F38" s="130">
        <f>D40</f>
        <v>535851.80517631921</v>
      </c>
      <c r="G38" s="131">
        <f>D42</f>
        <v>558682.55102492461</v>
      </c>
      <c r="H38" s="146">
        <f>D44</f>
        <v>589990.02207267657</v>
      </c>
      <c r="I38" s="6"/>
      <c r="J38" s="177" t="s">
        <v>21</v>
      </c>
      <c r="K38" s="6"/>
      <c r="L38" s="71" t="str">
        <f>J40</f>
        <v>AGOSTO</v>
      </c>
      <c r="M38" s="72" t="str">
        <f>J42</f>
        <v>SETEMBRO</v>
      </c>
      <c r="N38" s="178" t="str">
        <f>J44</f>
        <v>OUTUBRO</v>
      </c>
    </row>
    <row r="39" spans="3:15" x14ac:dyDescent="0.3">
      <c r="C39" s="5"/>
      <c r="D39" s="138"/>
      <c r="E39" s="138"/>
      <c r="F39" s="138"/>
      <c r="G39" s="138"/>
      <c r="H39" s="139"/>
      <c r="I39" s="6"/>
      <c r="J39" s="165"/>
      <c r="K39" s="6"/>
      <c r="L39" s="6"/>
      <c r="M39" s="6"/>
      <c r="N39" s="11"/>
    </row>
    <row r="40" spans="3:15" x14ac:dyDescent="0.3">
      <c r="C40" s="30">
        <v>46600</v>
      </c>
      <c r="D40" s="130">
        <f>D13</f>
        <v>535851.80517631921</v>
      </c>
      <c r="E40" s="138">
        <f t="shared" si="5"/>
        <v>1607555.4155289577</v>
      </c>
      <c r="F40" s="131">
        <f>D42</f>
        <v>558682.55102492461</v>
      </c>
      <c r="G40" s="132">
        <f>D44</f>
        <v>589990.02207267657</v>
      </c>
      <c r="H40" s="147">
        <f>D46</f>
        <v>450405.68385636428</v>
      </c>
      <c r="I40" s="6"/>
      <c r="J40" s="179" t="s">
        <v>22</v>
      </c>
      <c r="K40" s="6"/>
      <c r="L40" s="72" t="str">
        <f>J42</f>
        <v>SETEMBRO</v>
      </c>
      <c r="M40" s="76" t="str">
        <f>J44</f>
        <v>OUTUBRO</v>
      </c>
      <c r="N40" s="180" t="str">
        <f>J46</f>
        <v>NOVEMBRO</v>
      </c>
    </row>
    <row r="41" spans="3:15" x14ac:dyDescent="0.3">
      <c r="C41" s="5"/>
      <c r="D41" s="138"/>
      <c r="E41" s="138"/>
      <c r="F41" s="138"/>
      <c r="G41" s="138"/>
      <c r="H41" s="139"/>
      <c r="I41" s="6"/>
      <c r="J41" s="165"/>
      <c r="K41" s="6"/>
      <c r="L41" s="6"/>
      <c r="M41" s="6"/>
      <c r="N41" s="11"/>
    </row>
    <row r="42" spans="3:15" x14ac:dyDescent="0.3">
      <c r="C42" s="30">
        <v>46631</v>
      </c>
      <c r="D42" s="131">
        <f>D14</f>
        <v>558682.55102492461</v>
      </c>
      <c r="E42" s="138">
        <f t="shared" si="5"/>
        <v>1676047.653074774</v>
      </c>
      <c r="F42" s="132">
        <f>D44</f>
        <v>589990.02207267657</v>
      </c>
      <c r="G42" s="133">
        <f>D46</f>
        <v>450405.68385636428</v>
      </c>
      <c r="H42" s="148">
        <f>D48</f>
        <v>222110.9359874131</v>
      </c>
      <c r="I42" s="6"/>
      <c r="J42" s="181" t="s">
        <v>23</v>
      </c>
      <c r="K42" s="6"/>
      <c r="L42" s="76" t="str">
        <f>J44</f>
        <v>OUTUBRO</v>
      </c>
      <c r="M42" s="73" t="str">
        <f>J46</f>
        <v>NOVEMBRO</v>
      </c>
      <c r="N42" s="182" t="str">
        <f>J48</f>
        <v>DEZEMBRO</v>
      </c>
    </row>
    <row r="43" spans="3:15" x14ac:dyDescent="0.3">
      <c r="C43" s="5"/>
      <c r="D43" s="138"/>
      <c r="E43" s="138"/>
      <c r="F43" s="138"/>
      <c r="G43" s="138"/>
      <c r="H43" s="139"/>
      <c r="I43" s="6"/>
      <c r="J43" s="165"/>
      <c r="K43" s="6"/>
      <c r="L43" s="6"/>
      <c r="M43" s="6"/>
      <c r="N43" s="11"/>
    </row>
    <row r="44" spans="3:15" x14ac:dyDescent="0.3">
      <c r="C44" s="30">
        <v>46661</v>
      </c>
      <c r="D44" s="132">
        <f>D15</f>
        <v>589990.02207267657</v>
      </c>
      <c r="E44" s="138">
        <f t="shared" si="5"/>
        <v>1769970.0662180297</v>
      </c>
      <c r="F44" s="133">
        <f>D46</f>
        <v>450405.68385636428</v>
      </c>
      <c r="G44" s="134">
        <f>D48</f>
        <v>222110.9359874131</v>
      </c>
      <c r="H44" s="149">
        <f>D26</f>
        <v>383050.40546272328</v>
      </c>
      <c r="I44" s="6"/>
      <c r="J44" s="183" t="s">
        <v>24</v>
      </c>
      <c r="K44" s="6"/>
      <c r="L44" s="73" t="str">
        <f>J46</f>
        <v>NOVEMBRO</v>
      </c>
      <c r="M44" s="74" t="str">
        <f>J48</f>
        <v>DEZEMBRO</v>
      </c>
      <c r="N44" s="184" t="str">
        <f>J26</f>
        <v>JANEIRO</v>
      </c>
      <c r="O44" s="136">
        <v>46388</v>
      </c>
    </row>
    <row r="45" spans="3:15" x14ac:dyDescent="0.3">
      <c r="C45" s="5"/>
      <c r="D45" s="138"/>
      <c r="E45" s="138"/>
      <c r="F45" s="138"/>
      <c r="G45" s="138"/>
      <c r="H45" s="139"/>
      <c r="I45" s="6"/>
      <c r="J45" s="165"/>
      <c r="K45" s="6"/>
      <c r="L45" s="6"/>
      <c r="M45" s="6"/>
      <c r="N45" s="11"/>
    </row>
    <row r="46" spans="3:15" x14ac:dyDescent="0.3">
      <c r="C46" s="30">
        <v>46692</v>
      </c>
      <c r="D46" s="133">
        <f>D16</f>
        <v>450405.68385636428</v>
      </c>
      <c r="E46" s="138">
        <f t="shared" si="5"/>
        <v>1351217.0515690928</v>
      </c>
      <c r="F46" s="134">
        <f>D48</f>
        <v>222110.9359874131</v>
      </c>
      <c r="G46" s="150">
        <f>D26</f>
        <v>383050.40546272328</v>
      </c>
      <c r="H46" s="151">
        <f>D28</f>
        <v>428559.3653710513</v>
      </c>
      <c r="I46" s="6"/>
      <c r="J46" s="185" t="s">
        <v>25</v>
      </c>
      <c r="K46" s="6"/>
      <c r="L46" s="74" t="str">
        <f>J48</f>
        <v>DEZEMBRO</v>
      </c>
      <c r="M46" s="75" t="str">
        <f>J26</f>
        <v>JANEIRO</v>
      </c>
      <c r="N46" s="186" t="str">
        <f>J28</f>
        <v>FEVEREIRO</v>
      </c>
      <c r="O46" s="136">
        <v>46419</v>
      </c>
    </row>
    <row r="47" spans="3:15" x14ac:dyDescent="0.3">
      <c r="C47" s="5"/>
      <c r="D47" s="138"/>
      <c r="E47" s="138"/>
      <c r="F47" s="138"/>
      <c r="G47" s="138"/>
      <c r="H47" s="139"/>
      <c r="I47" s="6"/>
      <c r="J47" s="165"/>
      <c r="K47" s="6"/>
      <c r="L47" s="6"/>
      <c r="M47" s="6"/>
      <c r="N47" s="11"/>
    </row>
    <row r="48" spans="3:15" x14ac:dyDescent="0.3">
      <c r="C48" s="152">
        <v>46722</v>
      </c>
      <c r="D48" s="153">
        <f>D17</f>
        <v>222110.9359874131</v>
      </c>
      <c r="E48" s="113">
        <f t="shared" si="5"/>
        <v>666332.80796223925</v>
      </c>
      <c r="F48" s="154">
        <f>D26</f>
        <v>383050.40546272328</v>
      </c>
      <c r="G48" s="155">
        <f>D28</f>
        <v>428559.3653710513</v>
      </c>
      <c r="H48" s="156">
        <f>D30</f>
        <v>428686.4285054194</v>
      </c>
      <c r="I48" s="6"/>
      <c r="J48" s="187" t="s">
        <v>26</v>
      </c>
      <c r="K48" s="9"/>
      <c r="L48" s="188" t="str">
        <f>J26</f>
        <v>JANEIRO</v>
      </c>
      <c r="M48" s="189" t="str">
        <f>J28</f>
        <v>FEVEREIRO</v>
      </c>
      <c r="N48" s="190" t="str">
        <f>J30</f>
        <v>MARÇO</v>
      </c>
      <c r="O48" s="136">
        <v>46447</v>
      </c>
    </row>
  </sheetData>
  <mergeCells count="4">
    <mergeCell ref="D2:H2"/>
    <mergeCell ref="M19:N19"/>
    <mergeCell ref="M6:N6"/>
    <mergeCell ref="M7:N7"/>
  </mergeCells>
  <pageMargins left="0" right="0" top="0.25" bottom="0.25750000000000001" header="0.31496062000000002" footer="0.31496062000000002"/>
  <pageSetup paperSize="9" scale="90" orientation="portrait" horizontalDpi="0" verticalDpi="0"/>
  <ignoredErrors>
    <ignoredError xmlns:x16r3="http://schemas.microsoft.com/office/spreadsheetml/2018/08/main" sqref="D3 F6:H7 F17 F8 F9 F10 F11 F12 F13 F14 F15 F16" x16r3:misleadingForma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28F18-8BF4-104F-BA3F-69901FDF103A}">
  <sheetPr>
    <tabColor rgb="FF0070C0"/>
    <pageSetUpPr fitToPage="1"/>
  </sheetPr>
  <dimension ref="B3:M82"/>
  <sheetViews>
    <sheetView tabSelected="1" topLeftCell="A39" zoomScale="70" zoomScaleNormal="70" workbookViewId="0">
      <selection activeCell="H54" sqref="H54"/>
    </sheetView>
  </sheetViews>
  <sheetFormatPr defaultColWidth="11.19921875" defaultRowHeight="15.6" x14ac:dyDescent="0.3"/>
  <cols>
    <col min="1" max="1" width="3.19921875" customWidth="1"/>
    <col min="3" max="3" width="16.796875" customWidth="1"/>
    <col min="4" max="4" width="14.19921875" customWidth="1"/>
    <col min="5" max="5" width="17.5" customWidth="1"/>
    <col min="6" max="6" width="13.796875" customWidth="1"/>
    <col min="7" max="10" width="17.296875" customWidth="1"/>
    <col min="11" max="11" width="1.5" customWidth="1"/>
  </cols>
  <sheetData>
    <row r="3" spans="2:11" ht="21" x14ac:dyDescent="0.4">
      <c r="C3" s="421" t="s">
        <v>72</v>
      </c>
      <c r="D3" s="421"/>
      <c r="E3" s="421"/>
      <c r="F3" s="421"/>
      <c r="G3" s="421"/>
      <c r="H3" s="421"/>
      <c r="I3" s="421"/>
      <c r="J3" s="422"/>
      <c r="K3" s="321"/>
    </row>
    <row r="4" spans="2:11" x14ac:dyDescent="0.3">
      <c r="C4" s="52">
        <f>'CONSOLIDADO-RESUMIDO'!D6</f>
        <v>32556563.939999998</v>
      </c>
      <c r="D4" s="53"/>
      <c r="E4" s="53">
        <v>12</v>
      </c>
      <c r="F4" s="53"/>
      <c r="G4" s="53"/>
      <c r="H4" s="53"/>
      <c r="I4" s="427" t="s">
        <v>57</v>
      </c>
      <c r="J4" s="428"/>
      <c r="K4" s="119"/>
    </row>
    <row r="5" spans="2:11" x14ac:dyDescent="0.3">
      <c r="C5" s="318">
        <f>'CONSOLIDADO-RESUMIDO'!D7</f>
        <v>40</v>
      </c>
      <c r="D5" s="319"/>
      <c r="E5" s="423">
        <v>0.14000000000000001</v>
      </c>
      <c r="F5" s="423"/>
      <c r="G5" s="424">
        <v>0.81</v>
      </c>
      <c r="H5" s="424"/>
      <c r="I5" s="370">
        <v>0.8</v>
      </c>
      <c r="J5" s="369">
        <v>0.2</v>
      </c>
      <c r="K5" s="220"/>
    </row>
    <row r="6" spans="2:11" s="14" customFormat="1" x14ac:dyDescent="0.3">
      <c r="B6" s="63"/>
      <c r="C6" s="77" t="s">
        <v>2</v>
      </c>
      <c r="D6" s="78" t="s">
        <v>0</v>
      </c>
      <c r="E6" s="425" t="s">
        <v>53</v>
      </c>
      <c r="F6" s="425"/>
      <c r="G6" s="425" t="s">
        <v>7</v>
      </c>
      <c r="H6" s="425"/>
      <c r="I6" s="77" t="s">
        <v>5</v>
      </c>
      <c r="J6" s="368" t="s">
        <v>56</v>
      </c>
      <c r="K6" s="220"/>
    </row>
    <row r="7" spans="2:11" x14ac:dyDescent="0.3">
      <c r="B7" s="29">
        <v>46388</v>
      </c>
      <c r="C7" s="15">
        <f>'CONSOLIDADO-RESUMIDO'!D9</f>
        <v>2289642.9033307591</v>
      </c>
      <c r="D7" s="20">
        <f>'CONSOLIDADO-RESUMIDO'!E9</f>
        <v>57241.072583268979</v>
      </c>
      <c r="E7" s="59">
        <f>C7*$E$5</f>
        <v>320550.00646630634</v>
      </c>
      <c r="F7" s="60">
        <f>E7/$C$5</f>
        <v>8013.7501616576583</v>
      </c>
      <c r="G7" s="55">
        <f>C7*$G$5</f>
        <v>1854610.7516979151</v>
      </c>
      <c r="H7" s="56">
        <f>G7/$C$5</f>
        <v>46365.268792447881</v>
      </c>
      <c r="I7" s="371">
        <f>H7+F7-J7</f>
        <v>52776.268921774004</v>
      </c>
      <c r="J7" s="347">
        <f>F7*$J$5</f>
        <v>1602.7500323315317</v>
      </c>
      <c r="K7" s="6"/>
    </row>
    <row r="8" spans="2:11" x14ac:dyDescent="0.3">
      <c r="B8" s="30">
        <v>46419</v>
      </c>
      <c r="C8" s="4">
        <f>'CONSOLIDADO-RESUMIDO'!D10</f>
        <v>2805147.299694702</v>
      </c>
      <c r="D8" s="12">
        <f>'CONSOLIDADO-RESUMIDO'!E10</f>
        <v>70128.682492367545</v>
      </c>
      <c r="E8" s="61">
        <f t="shared" ref="E8:E18" si="0">C8*$E$5</f>
        <v>392720.62195725832</v>
      </c>
      <c r="F8" s="62">
        <f t="shared" ref="F8:F18" si="1">E8/$C$5</f>
        <v>9818.0155489314584</v>
      </c>
      <c r="G8" s="79">
        <f t="shared" ref="G8:G18" si="2">C8*$G$5</f>
        <v>2272169.3127527088</v>
      </c>
      <c r="H8" s="57">
        <f t="shared" ref="H8:H18" si="3">G8/$C$5</f>
        <v>56804.23281881772</v>
      </c>
      <c r="I8" s="372">
        <f t="shared" ref="I8:I18" si="4">H8+F8-J8</f>
        <v>64658.645257962889</v>
      </c>
      <c r="J8" s="348">
        <f t="shared" ref="J8:J18" si="5">F8*$J$5</f>
        <v>1963.6031097862917</v>
      </c>
      <c r="K8" s="6"/>
    </row>
    <row r="9" spans="2:11" x14ac:dyDescent="0.3">
      <c r="B9" s="30">
        <v>46447</v>
      </c>
      <c r="C9" s="4">
        <f>'CONSOLIDADO-RESUMIDO'!D11</f>
        <v>2613478.9061035174</v>
      </c>
      <c r="D9" s="12">
        <f>'CONSOLIDADO-RESUMIDO'!E11</f>
        <v>65336.972652587938</v>
      </c>
      <c r="E9" s="61">
        <f t="shared" si="0"/>
        <v>365887.04685449245</v>
      </c>
      <c r="F9" s="62">
        <f t="shared" si="1"/>
        <v>9147.1761713623109</v>
      </c>
      <c r="G9" s="79">
        <f t="shared" si="2"/>
        <v>2116917.913943849</v>
      </c>
      <c r="H9" s="57">
        <f t="shared" si="3"/>
        <v>52922.947848596225</v>
      </c>
      <c r="I9" s="372">
        <f t="shared" si="4"/>
        <v>60240.688785686078</v>
      </c>
      <c r="J9" s="348">
        <f t="shared" si="5"/>
        <v>1829.4352342724624</v>
      </c>
      <c r="K9" s="6"/>
    </row>
    <row r="10" spans="2:11" x14ac:dyDescent="0.3">
      <c r="B10" s="30">
        <v>46478</v>
      </c>
      <c r="C10" s="4">
        <f>'CONSOLIDADO-RESUMIDO'!D12</f>
        <v>2489204.459045033</v>
      </c>
      <c r="D10" s="12">
        <f>'CONSOLIDADO-RESUMIDO'!E12</f>
        <v>62230.111476125821</v>
      </c>
      <c r="E10" s="61">
        <f t="shared" si="0"/>
        <v>348488.62426630466</v>
      </c>
      <c r="F10" s="62">
        <f t="shared" si="1"/>
        <v>8712.2156066576172</v>
      </c>
      <c r="G10" s="79">
        <f t="shared" si="2"/>
        <v>2016255.6118264769</v>
      </c>
      <c r="H10" s="57">
        <f t="shared" si="3"/>
        <v>50406.39029566192</v>
      </c>
      <c r="I10" s="372">
        <f t="shared" si="4"/>
        <v>57376.162780988016</v>
      </c>
      <c r="J10" s="348">
        <f t="shared" si="5"/>
        <v>1742.4431213315236</v>
      </c>
      <c r="K10" s="6"/>
    </row>
    <row r="11" spans="2:11" x14ac:dyDescent="0.3">
      <c r="B11" s="30">
        <v>46508</v>
      </c>
      <c r="C11" s="4">
        <f>'CONSOLIDADO-RESUMIDO'!D13</f>
        <v>2277514.5469947709</v>
      </c>
      <c r="D11" s="12">
        <f>'CONSOLIDADO-RESUMIDO'!E13</f>
        <v>56937.863674869273</v>
      </c>
      <c r="E11" s="61">
        <f t="shared" si="0"/>
        <v>318852.03657926794</v>
      </c>
      <c r="F11" s="62">
        <f t="shared" si="1"/>
        <v>7971.3009144816988</v>
      </c>
      <c r="G11" s="79">
        <f t="shared" si="2"/>
        <v>1844786.7830657645</v>
      </c>
      <c r="H11" s="57">
        <f t="shared" si="3"/>
        <v>46119.669576644112</v>
      </c>
      <c r="I11" s="372">
        <f t="shared" si="4"/>
        <v>52496.710308229471</v>
      </c>
      <c r="J11" s="348">
        <f t="shared" si="5"/>
        <v>1594.2601828963398</v>
      </c>
      <c r="K11" s="6"/>
    </row>
    <row r="12" spans="2:11" x14ac:dyDescent="0.3">
      <c r="B12" s="30">
        <v>46539</v>
      </c>
      <c r="C12" s="4">
        <f>'CONSOLIDADO-RESUMIDO'!D14</f>
        <v>2391390.2743445095</v>
      </c>
      <c r="D12" s="12">
        <f>'CONSOLIDADO-RESUMIDO'!E14</f>
        <v>59784.756858612738</v>
      </c>
      <c r="E12" s="61">
        <f t="shared" si="0"/>
        <v>334794.63840823137</v>
      </c>
      <c r="F12" s="62">
        <f t="shared" si="1"/>
        <v>8369.8659602057851</v>
      </c>
      <c r="G12" s="79">
        <f t="shared" si="2"/>
        <v>1937026.1222190529</v>
      </c>
      <c r="H12" s="57">
        <f t="shared" si="3"/>
        <v>48425.653055476323</v>
      </c>
      <c r="I12" s="372">
        <f t="shared" si="4"/>
        <v>55121.545823640947</v>
      </c>
      <c r="J12" s="348">
        <f t="shared" si="5"/>
        <v>1673.9731920411571</v>
      </c>
      <c r="K12" s="6"/>
    </row>
    <row r="13" spans="2:11" x14ac:dyDescent="0.3">
      <c r="B13" s="30">
        <v>46569</v>
      </c>
      <c r="C13" s="4">
        <f>'CONSOLIDADO-RESUMIDO'!D15</f>
        <v>2934818.9786021342</v>
      </c>
      <c r="D13" s="12">
        <f>'CONSOLIDADO-RESUMIDO'!E15</f>
        <v>73370.474465053354</v>
      </c>
      <c r="E13" s="61">
        <f t="shared" si="0"/>
        <v>410874.65700429882</v>
      </c>
      <c r="F13" s="62">
        <f t="shared" si="1"/>
        <v>10271.86642510747</v>
      </c>
      <c r="G13" s="79">
        <f t="shared" si="2"/>
        <v>2377203.3726677289</v>
      </c>
      <c r="H13" s="57">
        <f t="shared" si="3"/>
        <v>59430.084316693225</v>
      </c>
      <c r="I13" s="372">
        <f t="shared" si="4"/>
        <v>67647.57745677921</v>
      </c>
      <c r="J13" s="348">
        <f t="shared" si="5"/>
        <v>2054.3732850214942</v>
      </c>
      <c r="K13" s="6"/>
    </row>
    <row r="14" spans="2:11" x14ac:dyDescent="0.3">
      <c r="B14" s="30">
        <v>46600</v>
      </c>
      <c r="C14" s="4">
        <f>'CONSOLIDADO-RESUMIDO'!D16</f>
        <v>3003174.5820303652</v>
      </c>
      <c r="D14" s="12">
        <f>'CONSOLIDADO-RESUMIDO'!E16</f>
        <v>75079.364550759128</v>
      </c>
      <c r="E14" s="61">
        <f t="shared" si="0"/>
        <v>420444.44148425118</v>
      </c>
      <c r="F14" s="62">
        <f t="shared" si="1"/>
        <v>10511.111037106279</v>
      </c>
      <c r="G14" s="79">
        <f t="shared" si="2"/>
        <v>2432571.411444596</v>
      </c>
      <c r="H14" s="57">
        <f t="shared" si="3"/>
        <v>60814.2852861149</v>
      </c>
      <c r="I14" s="372">
        <f t="shared" si="4"/>
        <v>69223.17411579992</v>
      </c>
      <c r="J14" s="348">
        <f t="shared" si="5"/>
        <v>2102.2222074212559</v>
      </c>
      <c r="K14" s="6"/>
    </row>
    <row r="15" spans="2:11" x14ac:dyDescent="0.3">
      <c r="B15" s="30">
        <v>46631</v>
      </c>
      <c r="C15" s="4">
        <f>'CONSOLIDADO-RESUMIDO'!D17</f>
        <v>3687065.8234828277</v>
      </c>
      <c r="D15" s="12">
        <f>'CONSOLIDADO-RESUMIDO'!E17</f>
        <v>92176.6455870707</v>
      </c>
      <c r="E15" s="61">
        <f t="shared" si="0"/>
        <v>516189.21528759593</v>
      </c>
      <c r="F15" s="62">
        <f t="shared" si="1"/>
        <v>12904.730382189899</v>
      </c>
      <c r="G15" s="79">
        <f t="shared" si="2"/>
        <v>2986523.3170210905</v>
      </c>
      <c r="H15" s="57">
        <f t="shared" si="3"/>
        <v>74663.082925527269</v>
      </c>
      <c r="I15" s="372">
        <f t="shared" si="4"/>
        <v>84986.86723127919</v>
      </c>
      <c r="J15" s="348">
        <f t="shared" si="5"/>
        <v>2580.9460764379801</v>
      </c>
      <c r="K15" s="6"/>
    </row>
    <row r="16" spans="2:11" x14ac:dyDescent="0.3">
      <c r="B16" s="30">
        <v>46661</v>
      </c>
      <c r="C16" s="4">
        <f>'CONSOLIDADO-RESUMIDO'!D18</f>
        <v>3895206.6360988012</v>
      </c>
      <c r="D16" s="12">
        <f>'CONSOLIDADO-RESUMIDO'!E18</f>
        <v>97380.165902470035</v>
      </c>
      <c r="E16" s="61">
        <f t="shared" si="0"/>
        <v>545328.92905383219</v>
      </c>
      <c r="F16" s="62">
        <f t="shared" si="1"/>
        <v>13633.223226345805</v>
      </c>
      <c r="G16" s="79">
        <f t="shared" si="2"/>
        <v>3155117.3752400293</v>
      </c>
      <c r="H16" s="57">
        <f t="shared" si="3"/>
        <v>78877.934381000727</v>
      </c>
      <c r="I16" s="372">
        <f t="shared" si="4"/>
        <v>89784.512962077366</v>
      </c>
      <c r="J16" s="348">
        <f t="shared" si="5"/>
        <v>2726.6446452691612</v>
      </c>
      <c r="K16" s="6"/>
    </row>
    <row r="17" spans="2:13" x14ac:dyDescent="0.3">
      <c r="B17" s="30">
        <v>46692</v>
      </c>
      <c r="C17" s="4">
        <f>'CONSOLIDADO-RESUMIDO'!D19</f>
        <v>2973440.1802280829</v>
      </c>
      <c r="D17" s="12">
        <f>'CONSOLIDADO-RESUMIDO'!E19</f>
        <v>74336.004505702076</v>
      </c>
      <c r="E17" s="61">
        <f t="shared" si="0"/>
        <v>416281.62523193163</v>
      </c>
      <c r="F17" s="62">
        <f t="shared" si="1"/>
        <v>10407.04063079829</v>
      </c>
      <c r="G17" s="79">
        <f t="shared" si="2"/>
        <v>2408486.5459847474</v>
      </c>
      <c r="H17" s="57">
        <f t="shared" si="3"/>
        <v>60212.163649618684</v>
      </c>
      <c r="I17" s="372">
        <f t="shared" si="4"/>
        <v>68537.796154257318</v>
      </c>
      <c r="J17" s="348">
        <f t="shared" si="5"/>
        <v>2081.408126159658</v>
      </c>
      <c r="K17" s="6"/>
    </row>
    <row r="18" spans="2:13" x14ac:dyDescent="0.3">
      <c r="B18" s="30">
        <v>46722</v>
      </c>
      <c r="C18" s="4">
        <f>'CONSOLIDADO-RESUMIDO'!D20</f>
        <v>1196479.350044488</v>
      </c>
      <c r="D18" s="12">
        <f>'CONSOLIDADO-RESUMIDO'!E20</f>
        <v>29911.983751112199</v>
      </c>
      <c r="E18" s="61">
        <f t="shared" si="0"/>
        <v>167507.10900622833</v>
      </c>
      <c r="F18" s="62">
        <f t="shared" si="1"/>
        <v>4187.6777251557087</v>
      </c>
      <c r="G18" s="79">
        <f t="shared" si="2"/>
        <v>969148.27353603533</v>
      </c>
      <c r="H18" s="57">
        <f t="shared" si="3"/>
        <v>24228.706838400882</v>
      </c>
      <c r="I18" s="372">
        <f t="shared" si="4"/>
        <v>27578.849018525449</v>
      </c>
      <c r="J18" s="348">
        <f t="shared" si="5"/>
        <v>837.53554503114174</v>
      </c>
      <c r="K18" s="6"/>
    </row>
    <row r="19" spans="2:13" x14ac:dyDescent="0.3">
      <c r="B19" s="7"/>
      <c r="C19" s="10"/>
      <c r="D19" s="21"/>
      <c r="E19" s="28"/>
      <c r="F19" s="9"/>
      <c r="G19" s="8"/>
      <c r="H19" s="51"/>
      <c r="I19" s="373"/>
      <c r="J19" s="349"/>
      <c r="K19" s="50"/>
    </row>
    <row r="20" spans="2:13" x14ac:dyDescent="0.3">
      <c r="B20" s="19"/>
      <c r="C20" s="23">
        <f t="shared" ref="C20:J20" si="6">SUM(C7:C19)</f>
        <v>32556563.939999998</v>
      </c>
      <c r="D20" s="24">
        <f t="shared" si="6"/>
        <v>813914.09849999985</v>
      </c>
      <c r="E20" s="61">
        <f t="shared" si="6"/>
        <v>4557918.9515999993</v>
      </c>
      <c r="F20" s="62">
        <f t="shared" si="6"/>
        <v>113947.97378999996</v>
      </c>
      <c r="G20" s="79">
        <f t="shared" si="6"/>
        <v>26370816.791399993</v>
      </c>
      <c r="H20" s="317">
        <f t="shared" si="6"/>
        <v>659270.4197849998</v>
      </c>
      <c r="I20" s="374">
        <f t="shared" si="6"/>
        <v>750428.79881699977</v>
      </c>
      <c r="J20" s="375">
        <f t="shared" si="6"/>
        <v>22789.594757999999</v>
      </c>
      <c r="K20" s="6"/>
    </row>
    <row r="21" spans="2:13" x14ac:dyDescent="0.3">
      <c r="B21" s="19" t="s">
        <v>1</v>
      </c>
      <c r="C21" s="4">
        <f t="shared" ref="C21" si="7">C20/12</f>
        <v>2713046.9949999996</v>
      </c>
      <c r="D21" s="353">
        <f>D20/12</f>
        <v>67826.174874999982</v>
      </c>
      <c r="E21" s="27"/>
      <c r="F21" s="6"/>
      <c r="G21" s="2"/>
      <c r="H21" s="50"/>
      <c r="I21" s="50"/>
      <c r="J21" s="351">
        <f>I20+J20</f>
        <v>773218.39357499976</v>
      </c>
      <c r="K21" s="50"/>
    </row>
    <row r="25" spans="2:13" ht="21" x14ac:dyDescent="0.4">
      <c r="C25" s="434" t="s">
        <v>44</v>
      </c>
      <c r="D25" s="434"/>
      <c r="E25" s="434"/>
      <c r="F25" s="434"/>
      <c r="G25" s="434"/>
      <c r="H25" s="434"/>
      <c r="I25" s="434"/>
      <c r="J25" s="435"/>
      <c r="K25" s="321"/>
    </row>
    <row r="26" spans="2:13" x14ac:dyDescent="0.3">
      <c r="C26" s="52">
        <f>'CONSOLIDADO-RESUMIDO'!D26</f>
        <v>32443436.059999999</v>
      </c>
      <c r="D26" s="53"/>
      <c r="E26" s="53">
        <v>12</v>
      </c>
      <c r="F26" s="53"/>
      <c r="G26" s="53"/>
      <c r="H26" s="53"/>
      <c r="I26" s="427" t="s">
        <v>57</v>
      </c>
      <c r="J26" s="428"/>
      <c r="K26" s="119"/>
    </row>
    <row r="27" spans="2:13" x14ac:dyDescent="0.3">
      <c r="C27" s="318">
        <f>'CONSOLIDADO-RESUMIDO'!D27</f>
        <v>23</v>
      </c>
      <c r="D27" s="319"/>
      <c r="E27" s="423">
        <v>0.8</v>
      </c>
      <c r="F27" s="423"/>
      <c r="G27" s="424">
        <v>0.15</v>
      </c>
      <c r="H27" s="424"/>
      <c r="I27" s="370">
        <v>0.8</v>
      </c>
      <c r="J27" s="369">
        <v>0.2</v>
      </c>
      <c r="K27" s="220"/>
    </row>
    <row r="28" spans="2:13" s="14" customFormat="1" x14ac:dyDescent="0.3">
      <c r="B28" s="63"/>
      <c r="C28" s="77" t="s">
        <v>2</v>
      </c>
      <c r="D28" s="78" t="s">
        <v>0</v>
      </c>
      <c r="E28" s="425" t="s">
        <v>53</v>
      </c>
      <c r="F28" s="425"/>
      <c r="G28" s="425" t="s">
        <v>7</v>
      </c>
      <c r="H28" s="425"/>
      <c r="I28" s="77" t="s">
        <v>5</v>
      </c>
      <c r="J28" s="368" t="s">
        <v>56</v>
      </c>
      <c r="K28" s="220"/>
    </row>
    <row r="29" spans="2:13" x14ac:dyDescent="0.3">
      <c r="B29" s="29">
        <v>46388</v>
      </c>
      <c r="C29" s="15">
        <f>'CONSOLIDADO-RESUMIDO'!D29</f>
        <v>2219131.0265040002</v>
      </c>
      <c r="D29" s="20">
        <f>C29/$C$27</f>
        <v>96483.957674086967</v>
      </c>
      <c r="E29" s="59">
        <f>C29*$E$27</f>
        <v>1775304.8212032001</v>
      </c>
      <c r="F29" s="60">
        <f>E29/$C$27</f>
        <v>77187.166139269568</v>
      </c>
      <c r="G29" s="55">
        <f>C29*$G$27</f>
        <v>332869.65397560003</v>
      </c>
      <c r="H29" s="56">
        <f>G29/$C$27</f>
        <v>14472.593651113044</v>
      </c>
      <c r="I29" s="371">
        <f>H29+F29-J29</f>
        <v>76222.326562528702</v>
      </c>
      <c r="J29" s="347">
        <f>F29*$J$27</f>
        <v>15437.433227853915</v>
      </c>
      <c r="K29" s="6"/>
      <c r="L29" s="50"/>
      <c r="M29" s="50"/>
    </row>
    <row r="30" spans="2:13" x14ac:dyDescent="0.3">
      <c r="B30" s="30">
        <v>46419</v>
      </c>
      <c r="C30" s="4">
        <f>'CONSOLIDADO-RESUMIDO'!D30</f>
        <v>2335927.3963199998</v>
      </c>
      <c r="D30" s="12">
        <f t="shared" ref="D30:D40" si="8">C30/$C$27</f>
        <v>101562.06070956521</v>
      </c>
      <c r="E30" s="61">
        <f t="shared" ref="E30:E40" si="9">C30*$E$27</f>
        <v>1868741.9170559999</v>
      </c>
      <c r="F30" s="62">
        <f t="shared" ref="F30:F40" si="10">E30/$C$27</f>
        <v>81249.64856765217</v>
      </c>
      <c r="G30" s="79">
        <f t="shared" ref="G30:G40" si="11">C30*$G$27</f>
        <v>350389.10944799997</v>
      </c>
      <c r="H30" s="57">
        <f t="shared" ref="H30:H40" si="12">G30/$C$27</f>
        <v>15234.309106434781</v>
      </c>
      <c r="I30" s="372">
        <f t="shared" ref="I30:I40" si="13">H30+F30-J30</f>
        <v>80234.027960556516</v>
      </c>
      <c r="J30" s="348">
        <f t="shared" ref="J30:J40" si="14">F30*$J$27</f>
        <v>16249.929713530435</v>
      </c>
      <c r="K30" s="6"/>
    </row>
    <row r="31" spans="2:13" x14ac:dyDescent="0.3">
      <c r="B31" s="30">
        <v>46447</v>
      </c>
      <c r="C31" s="4">
        <f>'CONSOLIDADO-RESUMIDO'!D31</f>
        <v>2452723.7661359999</v>
      </c>
      <c r="D31" s="12">
        <f t="shared" si="8"/>
        <v>106640.16374504348</v>
      </c>
      <c r="E31" s="61">
        <f t="shared" si="9"/>
        <v>1962179.0129088</v>
      </c>
      <c r="F31" s="62">
        <f t="shared" si="10"/>
        <v>85312.130996034786</v>
      </c>
      <c r="G31" s="79">
        <f t="shared" si="11"/>
        <v>367908.56492039998</v>
      </c>
      <c r="H31" s="57">
        <f t="shared" si="12"/>
        <v>15996.024561756522</v>
      </c>
      <c r="I31" s="372">
        <f t="shared" si="13"/>
        <v>84245.729358584358</v>
      </c>
      <c r="J31" s="348">
        <f t="shared" si="14"/>
        <v>17062.426199206959</v>
      </c>
      <c r="K31" s="6"/>
    </row>
    <row r="32" spans="2:13" x14ac:dyDescent="0.3">
      <c r="B32" s="30">
        <v>46478</v>
      </c>
      <c r="C32" s="4">
        <f>'CONSOLIDADO-RESUMIDO'!D32</f>
        <v>2916664.9017939996</v>
      </c>
      <c r="D32" s="12">
        <f t="shared" si="8"/>
        <v>126811.51746930434</v>
      </c>
      <c r="E32" s="61">
        <f t="shared" si="9"/>
        <v>2333331.9214351997</v>
      </c>
      <c r="F32" s="62">
        <f t="shared" si="10"/>
        <v>101449.21397544346</v>
      </c>
      <c r="G32" s="79">
        <f t="shared" si="11"/>
        <v>437499.73526909994</v>
      </c>
      <c r="H32" s="57">
        <f t="shared" si="12"/>
        <v>19021.72762039565</v>
      </c>
      <c r="I32" s="372">
        <f t="shared" si="13"/>
        <v>100181.09880075041</v>
      </c>
      <c r="J32" s="348">
        <f t="shared" si="14"/>
        <v>20289.842795088694</v>
      </c>
      <c r="K32" s="6"/>
    </row>
    <row r="33" spans="2:11" x14ac:dyDescent="0.3">
      <c r="B33" s="30">
        <v>46508</v>
      </c>
      <c r="C33" s="4">
        <f>'CONSOLIDADO-RESUMIDO'!D33</f>
        <v>3072393.3948820001</v>
      </c>
      <c r="D33" s="12">
        <f t="shared" si="8"/>
        <v>133582.3215166087</v>
      </c>
      <c r="E33" s="61">
        <f t="shared" si="9"/>
        <v>2457914.7159056002</v>
      </c>
      <c r="F33" s="62">
        <f t="shared" si="10"/>
        <v>106865.85721328696</v>
      </c>
      <c r="G33" s="79">
        <f t="shared" si="11"/>
        <v>460859.00923229998</v>
      </c>
      <c r="H33" s="57">
        <f t="shared" si="12"/>
        <v>20037.348227491304</v>
      </c>
      <c r="I33" s="372">
        <f t="shared" si="13"/>
        <v>105530.03399812087</v>
      </c>
      <c r="J33" s="348">
        <f t="shared" si="14"/>
        <v>21373.171442657393</v>
      </c>
      <c r="K33" s="6"/>
    </row>
    <row r="34" spans="2:11" x14ac:dyDescent="0.3">
      <c r="B34" s="30">
        <v>46539</v>
      </c>
      <c r="C34" s="4">
        <f>'CONSOLIDADO-RESUMIDO'!D34</f>
        <v>3095103.8001239998</v>
      </c>
      <c r="D34" s="12">
        <f t="shared" si="8"/>
        <v>134569.73044017391</v>
      </c>
      <c r="E34" s="61">
        <f t="shared" si="9"/>
        <v>2476083.0400991999</v>
      </c>
      <c r="F34" s="62">
        <f t="shared" si="10"/>
        <v>107655.78435213912</v>
      </c>
      <c r="G34" s="79">
        <f t="shared" si="11"/>
        <v>464265.57001859997</v>
      </c>
      <c r="H34" s="57">
        <f t="shared" si="12"/>
        <v>20185.459566026086</v>
      </c>
      <c r="I34" s="372">
        <f t="shared" si="13"/>
        <v>106310.08704773738</v>
      </c>
      <c r="J34" s="348">
        <f t="shared" si="14"/>
        <v>21531.156870427825</v>
      </c>
      <c r="K34" s="6"/>
    </row>
    <row r="35" spans="2:11" x14ac:dyDescent="0.3">
      <c r="B35" s="30">
        <v>46569</v>
      </c>
      <c r="C35" s="4">
        <f>'CONSOLIDADO-RESUMIDO'!D35</f>
        <v>3098348.1437300001</v>
      </c>
      <c r="D35" s="12">
        <f t="shared" si="8"/>
        <v>134710.78885782609</v>
      </c>
      <c r="E35" s="61">
        <f t="shared" si="9"/>
        <v>2478678.514984</v>
      </c>
      <c r="F35" s="62">
        <f t="shared" si="10"/>
        <v>107768.63108626087</v>
      </c>
      <c r="G35" s="79">
        <f t="shared" si="11"/>
        <v>464752.22155950003</v>
      </c>
      <c r="H35" s="57">
        <f t="shared" si="12"/>
        <v>20206.618328673914</v>
      </c>
      <c r="I35" s="372">
        <f t="shared" si="13"/>
        <v>106421.5231976826</v>
      </c>
      <c r="J35" s="348">
        <f t="shared" si="14"/>
        <v>21553.726217252173</v>
      </c>
      <c r="K35" s="6"/>
    </row>
    <row r="36" spans="2:11" x14ac:dyDescent="0.3">
      <c r="B36" s="30">
        <v>46600</v>
      </c>
      <c r="C36" s="4">
        <f>'CONSOLIDADO-RESUMIDO'!D36</f>
        <v>3224877.5443639997</v>
      </c>
      <c r="D36" s="12">
        <f t="shared" si="8"/>
        <v>140212.06714626084</v>
      </c>
      <c r="E36" s="61">
        <f t="shared" si="9"/>
        <v>2579902.0354912002</v>
      </c>
      <c r="F36" s="62">
        <f t="shared" si="10"/>
        <v>112169.6537170087</v>
      </c>
      <c r="G36" s="79">
        <f t="shared" si="11"/>
        <v>483731.63165459991</v>
      </c>
      <c r="H36" s="57">
        <f t="shared" si="12"/>
        <v>21031.810071939126</v>
      </c>
      <c r="I36" s="372">
        <f t="shared" si="13"/>
        <v>110767.53304554608</v>
      </c>
      <c r="J36" s="348">
        <f t="shared" si="14"/>
        <v>22433.930743401739</v>
      </c>
      <c r="K36" s="6"/>
    </row>
    <row r="37" spans="2:11" x14ac:dyDescent="0.3">
      <c r="B37" s="30">
        <v>46631</v>
      </c>
      <c r="C37" s="4">
        <f>'CONSOLIDADO-RESUMIDO'!D37</f>
        <v>3026972.5843979996</v>
      </c>
      <c r="D37" s="12">
        <f t="shared" si="8"/>
        <v>131607.50366947823</v>
      </c>
      <c r="E37" s="61">
        <f t="shared" si="9"/>
        <v>2421578.0675183996</v>
      </c>
      <c r="F37" s="62">
        <f t="shared" si="10"/>
        <v>105286.00293558258</v>
      </c>
      <c r="G37" s="79">
        <f t="shared" si="11"/>
        <v>454045.88765969995</v>
      </c>
      <c r="H37" s="57">
        <f t="shared" si="12"/>
        <v>19741.125550421737</v>
      </c>
      <c r="I37" s="372">
        <f t="shared" si="13"/>
        <v>103969.92789888781</v>
      </c>
      <c r="J37" s="348">
        <f t="shared" si="14"/>
        <v>21057.200587116517</v>
      </c>
      <c r="K37" s="6"/>
    </row>
    <row r="38" spans="2:11" x14ac:dyDescent="0.3">
      <c r="B38" s="30">
        <v>46661</v>
      </c>
      <c r="C38" s="4">
        <f>'CONSOLIDADO-RESUMIDO'!D38</f>
        <v>3195678.4519099998</v>
      </c>
      <c r="D38" s="12">
        <f t="shared" si="8"/>
        <v>138942.54138739131</v>
      </c>
      <c r="E38" s="61">
        <f t="shared" si="9"/>
        <v>2556542.7615280002</v>
      </c>
      <c r="F38" s="62">
        <f t="shared" si="10"/>
        <v>111154.03310991306</v>
      </c>
      <c r="G38" s="79">
        <f t="shared" si="11"/>
        <v>479351.76778649993</v>
      </c>
      <c r="H38" s="57">
        <f t="shared" si="12"/>
        <v>20841.381208108691</v>
      </c>
      <c r="I38" s="372">
        <f t="shared" si="13"/>
        <v>109764.60769603912</v>
      </c>
      <c r="J38" s="348">
        <f t="shared" si="14"/>
        <v>22230.806621982614</v>
      </c>
      <c r="K38" s="6"/>
    </row>
    <row r="39" spans="2:11" x14ac:dyDescent="0.3">
      <c r="B39" s="30">
        <v>46692</v>
      </c>
      <c r="C39" s="4">
        <f>'CONSOLIDADO-RESUMIDO'!D39</f>
        <v>2439746.3917120001</v>
      </c>
      <c r="D39" s="12">
        <f t="shared" si="8"/>
        <v>106075.93007443479</v>
      </c>
      <c r="E39" s="61">
        <f t="shared" si="9"/>
        <v>1951797.1133696001</v>
      </c>
      <c r="F39" s="62">
        <f t="shared" si="10"/>
        <v>84860.744059547826</v>
      </c>
      <c r="G39" s="79">
        <f t="shared" si="11"/>
        <v>365961.95875679998</v>
      </c>
      <c r="H39" s="57">
        <f t="shared" si="12"/>
        <v>15911.389511165216</v>
      </c>
      <c r="I39" s="372">
        <f t="shared" si="13"/>
        <v>83799.984758803475</v>
      </c>
      <c r="J39" s="348">
        <f t="shared" si="14"/>
        <v>16972.148811909567</v>
      </c>
      <c r="K39" s="6"/>
    </row>
    <row r="40" spans="2:11" x14ac:dyDescent="0.3">
      <c r="B40" s="30">
        <v>46722</v>
      </c>
      <c r="C40" s="4">
        <f>'CONSOLIDADO-RESUMIDO'!D40</f>
        <v>1365868.6581259998</v>
      </c>
      <c r="D40" s="12">
        <f t="shared" si="8"/>
        <v>59385.593831565209</v>
      </c>
      <c r="E40" s="61">
        <f t="shared" si="9"/>
        <v>1092694.9265007998</v>
      </c>
      <c r="F40" s="62">
        <f t="shared" si="10"/>
        <v>47508.475065252169</v>
      </c>
      <c r="G40" s="79">
        <f t="shared" si="11"/>
        <v>204880.29871889998</v>
      </c>
      <c r="H40" s="57">
        <f t="shared" si="12"/>
        <v>8907.8390747347821</v>
      </c>
      <c r="I40" s="372">
        <f t="shared" si="13"/>
        <v>46914.619126936515</v>
      </c>
      <c r="J40" s="348">
        <f t="shared" si="14"/>
        <v>9501.6950130504338</v>
      </c>
      <c r="K40" s="6"/>
    </row>
    <row r="41" spans="2:11" x14ac:dyDescent="0.3">
      <c r="B41" s="7"/>
      <c r="C41" s="10"/>
      <c r="D41" s="21"/>
      <c r="E41" s="28"/>
      <c r="F41" s="9"/>
      <c r="G41" s="8"/>
      <c r="H41" s="51"/>
      <c r="I41" s="373"/>
      <c r="J41" s="349"/>
      <c r="K41" s="50"/>
    </row>
    <row r="42" spans="2:11" x14ac:dyDescent="0.3">
      <c r="B42" s="19"/>
      <c r="C42" s="23">
        <f t="shared" ref="C42:D42" si="15">SUM(C29:C41)</f>
        <v>32443436.059999999</v>
      </c>
      <c r="D42" s="24">
        <f t="shared" si="15"/>
        <v>1410584.176521739</v>
      </c>
      <c r="E42" s="61">
        <f>SUM(E29:E41)</f>
        <v>25954748.848000001</v>
      </c>
      <c r="F42" s="62">
        <f t="shared" ref="F42:J42" si="16">SUM(F29:F41)</f>
        <v>1128467.3412173912</v>
      </c>
      <c r="G42" s="79">
        <f t="shared" si="16"/>
        <v>4866515.409</v>
      </c>
      <c r="H42" s="57">
        <f t="shared" si="16"/>
        <v>211587.62647826082</v>
      </c>
      <c r="I42" s="374">
        <f t="shared" si="16"/>
        <v>1114361.4994521737</v>
      </c>
      <c r="J42" s="375">
        <f t="shared" si="16"/>
        <v>225693.46824347827</v>
      </c>
      <c r="K42" s="6"/>
    </row>
    <row r="43" spans="2:11" x14ac:dyDescent="0.3">
      <c r="B43" s="19" t="s">
        <v>1</v>
      </c>
      <c r="C43" s="4">
        <f t="shared" ref="C43:D43" si="17">C42/12</f>
        <v>2703619.6716666664</v>
      </c>
      <c r="D43" s="353">
        <f t="shared" si="17"/>
        <v>117548.68137681158</v>
      </c>
      <c r="E43" s="27"/>
      <c r="F43" s="6"/>
      <c r="G43" s="2"/>
      <c r="H43" s="50"/>
      <c r="I43" s="50"/>
      <c r="J43" s="351">
        <f>I42+J42</f>
        <v>1340054.967695652</v>
      </c>
      <c r="K43" s="50"/>
    </row>
    <row r="44" spans="2:11" x14ac:dyDescent="0.3">
      <c r="C44" s="2"/>
      <c r="D44" s="346"/>
      <c r="E44" s="2"/>
      <c r="F44" s="2"/>
      <c r="G44" s="25"/>
      <c r="I44" s="2"/>
    </row>
    <row r="45" spans="2:11" x14ac:dyDescent="0.3">
      <c r="D45" s="346"/>
      <c r="E45" s="2"/>
    </row>
    <row r="46" spans="2:11" ht="21" x14ac:dyDescent="0.4">
      <c r="C46" s="429" t="s">
        <v>42</v>
      </c>
      <c r="D46" s="430"/>
      <c r="E46" s="430"/>
      <c r="F46" s="430"/>
      <c r="G46" s="430"/>
      <c r="H46" s="430"/>
      <c r="I46" s="430"/>
      <c r="J46" s="431"/>
      <c r="K46" s="321"/>
    </row>
    <row r="47" spans="2:11" x14ac:dyDescent="0.3">
      <c r="C47" s="52">
        <f>C63</f>
        <v>64999999.999999985</v>
      </c>
      <c r="D47" s="53"/>
      <c r="E47" s="53"/>
      <c r="F47" s="53"/>
      <c r="G47" s="53"/>
      <c r="H47" s="53"/>
      <c r="I47" s="427" t="s">
        <v>57</v>
      </c>
      <c r="J47" s="428"/>
      <c r="K47" s="119"/>
    </row>
    <row r="48" spans="2:11" x14ac:dyDescent="0.3">
      <c r="C48" s="320">
        <f>C63/D63</f>
        <v>29.220072107884548</v>
      </c>
      <c r="D48" s="319"/>
      <c r="E48" s="432"/>
      <c r="F48" s="432"/>
      <c r="G48" s="433"/>
      <c r="H48" s="433"/>
      <c r="I48" s="370">
        <v>0.8</v>
      </c>
      <c r="J48" s="369">
        <v>0.2</v>
      </c>
      <c r="K48" s="220"/>
    </row>
    <row r="49" spans="2:13" s="14" customFormat="1" x14ac:dyDescent="0.3">
      <c r="B49" s="63"/>
      <c r="C49" s="77" t="s">
        <v>2</v>
      </c>
      <c r="D49" s="78" t="s">
        <v>0</v>
      </c>
      <c r="E49" s="425" t="s">
        <v>53</v>
      </c>
      <c r="F49" s="425"/>
      <c r="G49" s="425" t="s">
        <v>7</v>
      </c>
      <c r="H49" s="425"/>
      <c r="I49" s="77" t="s">
        <v>5</v>
      </c>
      <c r="J49" s="368" t="s">
        <v>56</v>
      </c>
      <c r="K49" s="220"/>
    </row>
    <row r="50" spans="2:13" x14ac:dyDescent="0.3">
      <c r="B50" s="29">
        <v>46388</v>
      </c>
      <c r="C50" s="15">
        <f t="shared" ref="C50:C61" si="18">C29+C7</f>
        <v>4508773.9298347589</v>
      </c>
      <c r="D50" s="20">
        <f>D7+D29</f>
        <v>153725.03025735595</v>
      </c>
      <c r="E50" s="59">
        <f>E7+E29</f>
        <v>2095854.8276695064</v>
      </c>
      <c r="F50" s="60">
        <f>F7+F29</f>
        <v>85200.916300927231</v>
      </c>
      <c r="G50" s="55">
        <f>G7+G29</f>
        <v>2187480.4056735151</v>
      </c>
      <c r="H50" s="56">
        <f t="shared" ref="H50:J61" si="19">H29+H7</f>
        <v>60837.862443560924</v>
      </c>
      <c r="I50" s="371">
        <f t="shared" si="19"/>
        <v>128998.5954843027</v>
      </c>
      <c r="J50" s="347">
        <f t="shared" si="19"/>
        <v>17040.183260185448</v>
      </c>
      <c r="K50" s="6"/>
      <c r="L50" s="50"/>
      <c r="M50" s="50"/>
    </row>
    <row r="51" spans="2:13" x14ac:dyDescent="0.3">
      <c r="B51" s="30">
        <v>46419</v>
      </c>
      <c r="C51" s="4">
        <f t="shared" si="18"/>
        <v>5141074.6960147023</v>
      </c>
      <c r="D51" s="12">
        <f t="shared" ref="D51:D61" si="20">D8+D30</f>
        <v>171690.74320193275</v>
      </c>
      <c r="E51" s="61">
        <f t="shared" ref="E51:G61" si="21">E8+E30</f>
        <v>2261462.5390132582</v>
      </c>
      <c r="F51" s="62">
        <f t="shared" si="21"/>
        <v>91067.664116583634</v>
      </c>
      <c r="G51" s="79">
        <f t="shared" si="21"/>
        <v>2622558.4222007087</v>
      </c>
      <c r="H51" s="57">
        <f t="shared" si="19"/>
        <v>72038.541925252503</v>
      </c>
      <c r="I51" s="372">
        <f t="shared" si="19"/>
        <v>144892.6732185194</v>
      </c>
      <c r="J51" s="348">
        <f t="shared" si="19"/>
        <v>18213.532823316727</v>
      </c>
      <c r="K51" s="6"/>
    </row>
    <row r="52" spans="2:13" x14ac:dyDescent="0.3">
      <c r="B52" s="30">
        <v>46447</v>
      </c>
      <c r="C52" s="4">
        <f t="shared" si="18"/>
        <v>5066202.6722395178</v>
      </c>
      <c r="D52" s="12">
        <f t="shared" si="20"/>
        <v>171977.13639763143</v>
      </c>
      <c r="E52" s="61">
        <f t="shared" si="21"/>
        <v>2328066.0597632923</v>
      </c>
      <c r="F52" s="62">
        <f t="shared" si="21"/>
        <v>94459.307167397099</v>
      </c>
      <c r="G52" s="79">
        <f t="shared" si="21"/>
        <v>2484826.4788642488</v>
      </c>
      <c r="H52" s="57">
        <f t="shared" si="19"/>
        <v>68918.972410352741</v>
      </c>
      <c r="I52" s="372">
        <f t="shared" si="19"/>
        <v>144486.41814427043</v>
      </c>
      <c r="J52" s="348">
        <f t="shared" si="19"/>
        <v>18891.861433479422</v>
      </c>
      <c r="K52" s="6"/>
    </row>
    <row r="53" spans="2:13" x14ac:dyDescent="0.3">
      <c r="B53" s="30">
        <v>46478</v>
      </c>
      <c r="C53" s="4">
        <f t="shared" si="18"/>
        <v>5405869.3608390326</v>
      </c>
      <c r="D53" s="12">
        <f t="shared" si="20"/>
        <v>189041.62894543016</v>
      </c>
      <c r="E53" s="61">
        <f t="shared" si="21"/>
        <v>2681820.5457015042</v>
      </c>
      <c r="F53" s="62">
        <f t="shared" si="21"/>
        <v>110161.42958210107</v>
      </c>
      <c r="G53" s="79">
        <f t="shared" si="21"/>
        <v>2453755.347095577</v>
      </c>
      <c r="H53" s="57">
        <f t="shared" si="19"/>
        <v>69428.11791605757</v>
      </c>
      <c r="I53" s="372">
        <f t="shared" si="19"/>
        <v>157557.26158173842</v>
      </c>
      <c r="J53" s="348">
        <f t="shared" si="19"/>
        <v>22032.285916420216</v>
      </c>
      <c r="K53" s="6"/>
    </row>
    <row r="54" spans="2:13" x14ac:dyDescent="0.3">
      <c r="B54" s="30">
        <v>46508</v>
      </c>
      <c r="C54" s="4">
        <f t="shared" si="18"/>
        <v>5349907.9418767709</v>
      </c>
      <c r="D54" s="12">
        <f t="shared" si="20"/>
        <v>190520.18519147797</v>
      </c>
      <c r="E54" s="61">
        <f t="shared" si="21"/>
        <v>2776766.7524848683</v>
      </c>
      <c r="F54" s="62">
        <f t="shared" si="21"/>
        <v>114837.15812776866</v>
      </c>
      <c r="G54" s="79">
        <f t="shared" si="21"/>
        <v>2305645.7922980646</v>
      </c>
      <c r="H54" s="57">
        <f t="shared" si="19"/>
        <v>66157.017804135423</v>
      </c>
      <c r="I54" s="372">
        <f t="shared" si="19"/>
        <v>158026.74430635033</v>
      </c>
      <c r="J54" s="348">
        <f t="shared" si="19"/>
        <v>22967.431625553734</v>
      </c>
      <c r="K54" s="6"/>
    </row>
    <row r="55" spans="2:13" x14ac:dyDescent="0.3">
      <c r="B55" s="30">
        <v>46539</v>
      </c>
      <c r="C55" s="4">
        <f t="shared" si="18"/>
        <v>5486494.0744685093</v>
      </c>
      <c r="D55" s="12">
        <f t="shared" si="20"/>
        <v>194354.48729878664</v>
      </c>
      <c r="E55" s="61">
        <f t="shared" si="21"/>
        <v>2810877.6785074314</v>
      </c>
      <c r="F55" s="62">
        <f t="shared" si="21"/>
        <v>116025.65031234491</v>
      </c>
      <c r="G55" s="79">
        <f t="shared" si="21"/>
        <v>2401291.6922376528</v>
      </c>
      <c r="H55" s="57">
        <f t="shared" si="19"/>
        <v>68611.112621502412</v>
      </c>
      <c r="I55" s="372">
        <f t="shared" si="19"/>
        <v>161431.63287137833</v>
      </c>
      <c r="J55" s="348">
        <f t="shared" si="19"/>
        <v>23205.130062468983</v>
      </c>
      <c r="K55" s="6"/>
    </row>
    <row r="56" spans="2:13" x14ac:dyDescent="0.3">
      <c r="B56" s="30">
        <v>46569</v>
      </c>
      <c r="C56" s="4">
        <f t="shared" si="18"/>
        <v>6033167.1223321343</v>
      </c>
      <c r="D56" s="12">
        <f t="shared" si="20"/>
        <v>208081.26332287944</v>
      </c>
      <c r="E56" s="61">
        <f t="shared" si="21"/>
        <v>2889553.1719882987</v>
      </c>
      <c r="F56" s="62">
        <f t="shared" si="21"/>
        <v>118040.49751136833</v>
      </c>
      <c r="G56" s="79">
        <f t="shared" si="21"/>
        <v>2841955.5942272288</v>
      </c>
      <c r="H56" s="57">
        <f t="shared" si="19"/>
        <v>79636.702645367142</v>
      </c>
      <c r="I56" s="372">
        <f t="shared" si="19"/>
        <v>174069.10065446183</v>
      </c>
      <c r="J56" s="348">
        <f t="shared" si="19"/>
        <v>23608.099502273668</v>
      </c>
      <c r="K56" s="6"/>
    </row>
    <row r="57" spans="2:13" x14ac:dyDescent="0.3">
      <c r="B57" s="30">
        <v>46600</v>
      </c>
      <c r="C57" s="4">
        <f t="shared" si="18"/>
        <v>6228052.126394365</v>
      </c>
      <c r="D57" s="12">
        <f t="shared" si="20"/>
        <v>215291.43169701996</v>
      </c>
      <c r="E57" s="61">
        <f t="shared" si="21"/>
        <v>3000346.4769754512</v>
      </c>
      <c r="F57" s="62">
        <f t="shared" si="21"/>
        <v>122680.76475411498</v>
      </c>
      <c r="G57" s="79">
        <f t="shared" si="21"/>
        <v>2916303.0430991957</v>
      </c>
      <c r="H57" s="57">
        <f t="shared" si="19"/>
        <v>81846.095358054023</v>
      </c>
      <c r="I57" s="372">
        <f t="shared" si="19"/>
        <v>179990.70716134598</v>
      </c>
      <c r="J57" s="348">
        <f t="shared" si="19"/>
        <v>24536.152950822994</v>
      </c>
      <c r="K57" s="6"/>
    </row>
    <row r="58" spans="2:13" x14ac:dyDescent="0.3">
      <c r="B58" s="30">
        <v>46631</v>
      </c>
      <c r="C58" s="4">
        <f t="shared" si="18"/>
        <v>6714038.4078808278</v>
      </c>
      <c r="D58" s="12">
        <f t="shared" si="20"/>
        <v>223784.14925654893</v>
      </c>
      <c r="E58" s="61">
        <f t="shared" si="21"/>
        <v>2937767.2828059956</v>
      </c>
      <c r="F58" s="62">
        <f t="shared" si="21"/>
        <v>118190.73331777248</v>
      </c>
      <c r="G58" s="79">
        <f t="shared" si="21"/>
        <v>3440569.2046807907</v>
      </c>
      <c r="H58" s="57">
        <f t="shared" si="19"/>
        <v>94404.20847594901</v>
      </c>
      <c r="I58" s="372">
        <f t="shared" si="19"/>
        <v>188956.79513016698</v>
      </c>
      <c r="J58" s="348">
        <f t="shared" si="19"/>
        <v>23638.146663554497</v>
      </c>
      <c r="K58" s="6"/>
    </row>
    <row r="59" spans="2:13" x14ac:dyDescent="0.3">
      <c r="B59" s="30">
        <v>46661</v>
      </c>
      <c r="C59" s="4">
        <f t="shared" si="18"/>
        <v>7090885.0880088005</v>
      </c>
      <c r="D59" s="12">
        <f t="shared" si="20"/>
        <v>236322.70728986134</v>
      </c>
      <c r="E59" s="61">
        <f t="shared" si="21"/>
        <v>3101871.6905818325</v>
      </c>
      <c r="F59" s="62">
        <f t="shared" si="21"/>
        <v>124787.25633625886</v>
      </c>
      <c r="G59" s="79">
        <f t="shared" si="21"/>
        <v>3634469.1430265293</v>
      </c>
      <c r="H59" s="57">
        <f t="shared" si="19"/>
        <v>99719.315589109421</v>
      </c>
      <c r="I59" s="372">
        <f t="shared" si="19"/>
        <v>199549.12065811647</v>
      </c>
      <c r="J59" s="348">
        <f t="shared" si="19"/>
        <v>24957.451267251774</v>
      </c>
      <c r="K59" s="6"/>
    </row>
    <row r="60" spans="2:13" x14ac:dyDescent="0.3">
      <c r="B60" s="30">
        <v>46692</v>
      </c>
      <c r="C60" s="4">
        <f t="shared" si="18"/>
        <v>5413186.5719400831</v>
      </c>
      <c r="D60" s="12">
        <f t="shared" si="20"/>
        <v>180411.93458013685</v>
      </c>
      <c r="E60" s="61">
        <f t="shared" si="21"/>
        <v>2368078.7386015318</v>
      </c>
      <c r="F60" s="62">
        <f t="shared" si="21"/>
        <v>95267.784690346118</v>
      </c>
      <c r="G60" s="79">
        <f t="shared" si="21"/>
        <v>2774448.5047415472</v>
      </c>
      <c r="H60" s="57">
        <f t="shared" si="19"/>
        <v>76123.553160783893</v>
      </c>
      <c r="I60" s="372">
        <f t="shared" si="19"/>
        <v>152337.78091306079</v>
      </c>
      <c r="J60" s="348">
        <f t="shared" si="19"/>
        <v>19053.556938069225</v>
      </c>
      <c r="K60" s="6"/>
    </row>
    <row r="61" spans="2:13" x14ac:dyDescent="0.3">
      <c r="B61" s="30">
        <v>46722</v>
      </c>
      <c r="C61" s="4">
        <f t="shared" si="18"/>
        <v>2562348.0081704878</v>
      </c>
      <c r="D61" s="12">
        <f t="shared" si="20"/>
        <v>89297.577582677404</v>
      </c>
      <c r="E61" s="61">
        <f t="shared" si="21"/>
        <v>1260202.0355070282</v>
      </c>
      <c r="F61" s="62">
        <f t="shared" si="21"/>
        <v>51696.152790407876</v>
      </c>
      <c r="G61" s="79">
        <f t="shared" si="21"/>
        <v>1174028.5722549353</v>
      </c>
      <c r="H61" s="57">
        <f t="shared" si="19"/>
        <v>33136.545913135662</v>
      </c>
      <c r="I61" s="372">
        <f t="shared" si="19"/>
        <v>74493.468145461957</v>
      </c>
      <c r="J61" s="348">
        <f t="shared" si="19"/>
        <v>10339.230558081576</v>
      </c>
      <c r="K61" s="6"/>
    </row>
    <row r="62" spans="2:13" x14ac:dyDescent="0.3">
      <c r="B62" s="5"/>
      <c r="C62" s="4"/>
      <c r="D62" s="12"/>
      <c r="E62" s="27"/>
      <c r="F62" s="6"/>
      <c r="G62" s="2"/>
      <c r="H62" s="50"/>
      <c r="I62" s="376"/>
      <c r="J62" s="305"/>
      <c r="K62" s="50"/>
    </row>
    <row r="63" spans="2:13" x14ac:dyDescent="0.3">
      <c r="B63" s="306"/>
      <c r="C63" s="307">
        <f t="shared" ref="C63" si="22">SUM(C50:C62)</f>
        <v>64999999.999999985</v>
      </c>
      <c r="D63" s="308">
        <f>SUM(D50:D62)</f>
        <v>2224498.2750217384</v>
      </c>
      <c r="E63" s="315">
        <f t="shared" ref="E63:J63" si="23">SUM(E50:E62)</f>
        <v>30512667.799599994</v>
      </c>
      <c r="F63" s="316">
        <f>SUM(F50:F62)</f>
        <v>1242415.3150073914</v>
      </c>
      <c r="G63" s="312">
        <f t="shared" si="23"/>
        <v>31237332.200399987</v>
      </c>
      <c r="H63" s="313">
        <f t="shared" si="23"/>
        <v>870858.04626326077</v>
      </c>
      <c r="I63" s="377">
        <f t="shared" si="23"/>
        <v>1864790.2982691736</v>
      </c>
      <c r="J63" s="350">
        <f t="shared" si="23"/>
        <v>248483.06300147829</v>
      </c>
      <c r="K63" s="6"/>
    </row>
    <row r="64" spans="2:13" x14ac:dyDescent="0.3">
      <c r="B64" s="19" t="s">
        <v>1</v>
      </c>
      <c r="C64" s="4">
        <f t="shared" ref="C64:D64" si="24">C63/12</f>
        <v>5416666.6666666651</v>
      </c>
      <c r="D64" s="12">
        <f t="shared" si="24"/>
        <v>185374.85625181152</v>
      </c>
      <c r="E64" s="310"/>
      <c r="F64" s="309"/>
      <c r="G64" s="65"/>
      <c r="H64" s="309"/>
      <c r="I64" s="65"/>
      <c r="J64" s="309"/>
      <c r="K64" s="322"/>
    </row>
    <row r="65" spans="2:11" x14ac:dyDescent="0.3">
      <c r="C65" s="50"/>
      <c r="D65" s="353"/>
      <c r="H65" s="50">
        <f>H63+J63</f>
        <v>1119341.1092647391</v>
      </c>
      <c r="J65" s="351">
        <f>I63+J63</f>
        <v>2113273.3612706517</v>
      </c>
    </row>
    <row r="66" spans="2:11" x14ac:dyDescent="0.3">
      <c r="J66" s="50"/>
    </row>
    <row r="67" spans="2:11" x14ac:dyDescent="0.3">
      <c r="C67" s="426" t="s">
        <v>14</v>
      </c>
      <c r="D67" s="426"/>
      <c r="E67" s="426"/>
      <c r="F67" s="426"/>
      <c r="G67" s="426"/>
      <c r="J67" s="25"/>
    </row>
    <row r="68" spans="2:11" x14ac:dyDescent="0.3">
      <c r="D68" s="358" t="s">
        <v>10</v>
      </c>
      <c r="E68" s="358" t="s">
        <v>11</v>
      </c>
      <c r="F68" s="358" t="s">
        <v>12</v>
      </c>
      <c r="G68" s="358" t="s">
        <v>13</v>
      </c>
      <c r="J68" s="50"/>
    </row>
    <row r="69" spans="2:11" x14ac:dyDescent="0.3">
      <c r="C69" s="359" t="s">
        <v>54</v>
      </c>
      <c r="D69" s="64">
        <v>3</v>
      </c>
      <c r="E69" s="64">
        <v>1</v>
      </c>
      <c r="F69" s="64">
        <v>1</v>
      </c>
      <c r="G69" s="360">
        <v>1</v>
      </c>
    </row>
    <row r="70" spans="2:11" x14ac:dyDescent="0.3">
      <c r="B70" s="378" t="s">
        <v>58</v>
      </c>
      <c r="C70" s="75">
        <f>F50+H50</f>
        <v>146038.77874448814</v>
      </c>
      <c r="D70" s="6">
        <f>C70*$D$69</f>
        <v>438116.33623346442</v>
      </c>
      <c r="E70" s="67">
        <f t="shared" ref="E70:E80" si="25">C71</f>
        <v>163106.20604183612</v>
      </c>
      <c r="F70" s="68">
        <f t="shared" ref="F70:F79" si="26">C72</f>
        <v>163378.27957774984</v>
      </c>
      <c r="G70" s="362">
        <f t="shared" ref="G70:G78" si="27">C73</f>
        <v>179589.54749815864</v>
      </c>
      <c r="H70" s="6"/>
      <c r="I70" s="6"/>
      <c r="J70" s="6"/>
      <c r="K70" s="6"/>
    </row>
    <row r="71" spans="2:11" x14ac:dyDescent="0.3">
      <c r="B71" s="379" t="s">
        <v>59</v>
      </c>
      <c r="C71" s="67">
        <f>F51+H51</f>
        <v>163106.20604183612</v>
      </c>
      <c r="D71" s="6">
        <f t="shared" ref="D71:D81" si="28">C71*$D$69</f>
        <v>489318.61812550836</v>
      </c>
      <c r="E71" s="68">
        <f t="shared" si="25"/>
        <v>163378.27957774984</v>
      </c>
      <c r="F71" s="363">
        <f t="shared" si="26"/>
        <v>179589.54749815864</v>
      </c>
      <c r="G71" s="168">
        <f t="shared" si="27"/>
        <v>180994.17593190409</v>
      </c>
      <c r="H71" s="6"/>
      <c r="I71" s="6"/>
      <c r="J71" s="6"/>
      <c r="K71" s="6"/>
    </row>
    <row r="72" spans="2:11" x14ac:dyDescent="0.3">
      <c r="B72" s="379" t="s">
        <v>60</v>
      </c>
      <c r="C72" s="68">
        <f t="shared" ref="C72:C81" si="29">F52+H52</f>
        <v>163378.27957774984</v>
      </c>
      <c r="D72" s="6">
        <f t="shared" si="28"/>
        <v>490134.83873324952</v>
      </c>
      <c r="E72" s="363">
        <f t="shared" si="25"/>
        <v>179589.54749815864</v>
      </c>
      <c r="F72" s="62">
        <f t="shared" si="26"/>
        <v>180994.17593190409</v>
      </c>
      <c r="G72" s="170">
        <f t="shared" si="27"/>
        <v>184636.76293384732</v>
      </c>
      <c r="H72" s="6"/>
      <c r="I72" s="6"/>
      <c r="J72" s="6"/>
      <c r="K72" s="6"/>
    </row>
    <row r="73" spans="2:11" x14ac:dyDescent="0.3">
      <c r="B73" s="379" t="s">
        <v>61</v>
      </c>
      <c r="C73" s="363">
        <f t="shared" si="29"/>
        <v>179589.54749815864</v>
      </c>
      <c r="D73" s="6">
        <f t="shared" si="28"/>
        <v>538768.64249447593</v>
      </c>
      <c r="E73" s="62">
        <f t="shared" si="25"/>
        <v>180994.17593190409</v>
      </c>
      <c r="F73" s="57">
        <f t="shared" si="26"/>
        <v>184636.76293384732</v>
      </c>
      <c r="G73" s="172">
        <f t="shared" si="27"/>
        <v>197677.20015673549</v>
      </c>
      <c r="H73" s="6"/>
      <c r="I73" s="6"/>
      <c r="J73" s="6"/>
      <c r="K73" s="6"/>
    </row>
    <row r="74" spans="2:11" x14ac:dyDescent="0.3">
      <c r="B74" s="379" t="s">
        <v>62</v>
      </c>
      <c r="C74" s="62">
        <f t="shared" si="29"/>
        <v>180994.17593190409</v>
      </c>
      <c r="D74" s="6">
        <f t="shared" si="28"/>
        <v>542982.52779571223</v>
      </c>
      <c r="E74" s="70">
        <f t="shared" si="25"/>
        <v>184636.76293384732</v>
      </c>
      <c r="F74" s="69">
        <f t="shared" si="26"/>
        <v>197677.20015673549</v>
      </c>
      <c r="G74" s="174">
        <f t="shared" si="27"/>
        <v>204526.860112169</v>
      </c>
      <c r="H74" s="6"/>
      <c r="I74" s="6"/>
      <c r="J74" s="6"/>
      <c r="K74" s="6"/>
    </row>
    <row r="75" spans="2:11" x14ac:dyDescent="0.3">
      <c r="B75" s="379" t="s">
        <v>63</v>
      </c>
      <c r="C75" s="57">
        <f t="shared" si="29"/>
        <v>184636.76293384732</v>
      </c>
      <c r="D75" s="6">
        <f t="shared" si="28"/>
        <v>553910.28880154202</v>
      </c>
      <c r="E75" s="69">
        <f t="shared" si="25"/>
        <v>197677.20015673549</v>
      </c>
      <c r="F75" s="71">
        <f t="shared" si="26"/>
        <v>204526.860112169</v>
      </c>
      <c r="G75" s="176">
        <f t="shared" si="27"/>
        <v>212594.94179372149</v>
      </c>
      <c r="H75" s="6"/>
      <c r="I75" s="6"/>
      <c r="J75" s="6"/>
      <c r="K75" s="6"/>
    </row>
    <row r="76" spans="2:11" x14ac:dyDescent="0.3">
      <c r="B76" s="379" t="s">
        <v>64</v>
      </c>
      <c r="C76" s="69">
        <f t="shared" si="29"/>
        <v>197677.20015673549</v>
      </c>
      <c r="D76" s="6">
        <f t="shared" si="28"/>
        <v>593031.60047020647</v>
      </c>
      <c r="E76" s="71">
        <f t="shared" si="25"/>
        <v>204526.860112169</v>
      </c>
      <c r="F76" s="72">
        <f t="shared" si="26"/>
        <v>212594.94179372149</v>
      </c>
      <c r="G76" s="178">
        <f t="shared" si="27"/>
        <v>224506.57192536828</v>
      </c>
      <c r="H76" s="6"/>
      <c r="I76" s="6"/>
      <c r="J76" s="6"/>
      <c r="K76" s="6"/>
    </row>
    <row r="77" spans="2:11" x14ac:dyDescent="0.3">
      <c r="B77" s="379" t="s">
        <v>65</v>
      </c>
      <c r="C77" s="71">
        <f t="shared" si="29"/>
        <v>204526.860112169</v>
      </c>
      <c r="D77" s="6">
        <f t="shared" si="28"/>
        <v>613580.58033650694</v>
      </c>
      <c r="E77" s="72">
        <f t="shared" si="25"/>
        <v>212594.94179372149</v>
      </c>
      <c r="F77" s="76">
        <f t="shared" si="26"/>
        <v>224506.57192536828</v>
      </c>
      <c r="G77" s="180">
        <f t="shared" si="27"/>
        <v>171391.33785113</v>
      </c>
      <c r="H77" s="6"/>
      <c r="I77" s="6"/>
      <c r="J77" s="6"/>
      <c r="K77" s="6"/>
    </row>
    <row r="78" spans="2:11" x14ac:dyDescent="0.3">
      <c r="B78" s="379" t="s">
        <v>66</v>
      </c>
      <c r="C78" s="72">
        <f t="shared" si="29"/>
        <v>212594.94179372149</v>
      </c>
      <c r="D78" s="6">
        <f t="shared" si="28"/>
        <v>637784.82538116444</v>
      </c>
      <c r="E78" s="76">
        <f t="shared" si="25"/>
        <v>224506.57192536828</v>
      </c>
      <c r="F78" s="73">
        <f t="shared" si="26"/>
        <v>171391.33785113</v>
      </c>
      <c r="G78" s="182">
        <f t="shared" si="27"/>
        <v>84832.698703543545</v>
      </c>
      <c r="H78" s="6"/>
      <c r="I78" s="6"/>
      <c r="J78" s="6"/>
      <c r="K78" s="6"/>
    </row>
    <row r="79" spans="2:11" x14ac:dyDescent="0.3">
      <c r="B79" s="379" t="s">
        <v>67</v>
      </c>
      <c r="C79" s="76">
        <f t="shared" si="29"/>
        <v>224506.57192536828</v>
      </c>
      <c r="D79" s="6">
        <f t="shared" si="28"/>
        <v>673519.71577610483</v>
      </c>
      <c r="E79" s="73">
        <f t="shared" si="25"/>
        <v>171391.33785113</v>
      </c>
      <c r="F79" s="74">
        <f t="shared" si="26"/>
        <v>84832.698703543545</v>
      </c>
      <c r="G79" s="184">
        <f>C70</f>
        <v>146038.77874448814</v>
      </c>
      <c r="H79" s="6"/>
      <c r="I79" s="6"/>
      <c r="J79" s="6"/>
      <c r="K79" s="6"/>
    </row>
    <row r="80" spans="2:11" x14ac:dyDescent="0.3">
      <c r="B80" s="379" t="s">
        <v>68</v>
      </c>
      <c r="C80" s="73">
        <f t="shared" si="29"/>
        <v>171391.33785113</v>
      </c>
      <c r="D80" s="6">
        <f t="shared" si="28"/>
        <v>514174.01355338999</v>
      </c>
      <c r="E80" s="74">
        <f t="shared" si="25"/>
        <v>84832.698703543545</v>
      </c>
      <c r="F80" s="75">
        <f>C70</f>
        <v>146038.77874448814</v>
      </c>
      <c r="G80" s="186">
        <f>C71</f>
        <v>163106.20604183612</v>
      </c>
      <c r="H80" s="6"/>
      <c r="I80" s="6"/>
      <c r="J80" s="6"/>
      <c r="K80" s="6"/>
    </row>
    <row r="81" spans="2:11" x14ac:dyDescent="0.3">
      <c r="B81" s="380" t="s">
        <v>69</v>
      </c>
      <c r="C81" s="192">
        <f t="shared" si="29"/>
        <v>84832.698703543545</v>
      </c>
      <c r="D81" s="9">
        <f t="shared" si="28"/>
        <v>254498.09611063063</v>
      </c>
      <c r="E81" s="188">
        <f>C70</f>
        <v>146038.77874448814</v>
      </c>
      <c r="F81" s="189">
        <f>C71</f>
        <v>163106.20604183612</v>
      </c>
      <c r="G81" s="190">
        <f>C72</f>
        <v>163378.27957774984</v>
      </c>
      <c r="H81" s="6"/>
      <c r="I81" s="6"/>
      <c r="J81" s="6"/>
      <c r="K81" s="6"/>
    </row>
    <row r="82" spans="2:11" x14ac:dyDescent="0.3">
      <c r="C82" s="6">
        <f>SUM(C70:C81)</f>
        <v>2113273.3612706522</v>
      </c>
    </row>
  </sheetData>
  <mergeCells count="19">
    <mergeCell ref="C67:G67"/>
    <mergeCell ref="I4:J4"/>
    <mergeCell ref="C46:J46"/>
    <mergeCell ref="E48:F48"/>
    <mergeCell ref="G48:H48"/>
    <mergeCell ref="E49:F49"/>
    <mergeCell ref="G49:H49"/>
    <mergeCell ref="C25:J25"/>
    <mergeCell ref="E27:F27"/>
    <mergeCell ref="G27:H27"/>
    <mergeCell ref="E28:F28"/>
    <mergeCell ref="G28:H28"/>
    <mergeCell ref="I47:J47"/>
    <mergeCell ref="I26:J26"/>
    <mergeCell ref="C3:J3"/>
    <mergeCell ref="E5:F5"/>
    <mergeCell ref="G5:H5"/>
    <mergeCell ref="E6:F6"/>
    <mergeCell ref="G6:H6"/>
  </mergeCells>
  <phoneticPr fontId="15" type="noConversion"/>
  <conditionalFormatting sqref="C7:C18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{0858F84F-8ABB-FC4A-8487-9119A40B0A09}</x14:id>
        </ext>
      </extLst>
    </cfRule>
    <cfRule type="cellIs" dxfId="7" priority="20" operator="greaterThan">
      <formula>2000000</formula>
    </cfRule>
  </conditionalFormatting>
  <conditionalFormatting sqref="C19">
    <cfRule type="cellIs" dxfId="6" priority="21" operator="greaterThan">
      <formula>$D$99</formula>
    </cfRule>
  </conditionalFormatting>
  <conditionalFormatting sqref="C29:C40">
    <cfRule type="cellIs" dxfId="5" priority="6" operator="greaterThan">
      <formula>2000000</formula>
    </cfRule>
  </conditionalFormatting>
  <conditionalFormatting sqref="C41">
    <cfRule type="cellIs" dxfId="4" priority="7" operator="greaterThan">
      <formula>$D$99</formula>
    </cfRule>
  </conditionalFormatting>
  <conditionalFormatting sqref="C50:C62">
    <cfRule type="cellIs" dxfId="3" priority="2" operator="greaterThan">
      <formula>4000000</formula>
    </cfRule>
  </conditionalFormatting>
  <conditionalFormatting sqref="D7:D18">
    <cfRule type="dataBar" priority="1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{4BCE4FE7-9E0C-C842-92EE-3BFBFA77C4D6}</x14:id>
        </ext>
      </extLst>
    </cfRule>
  </conditionalFormatting>
  <conditionalFormatting sqref="D29:D40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{76D51058-FEFA-EA49-B28F-056464E86E43}</x14:id>
        </ext>
      </extLst>
    </cfRule>
  </conditionalFormatting>
  <conditionalFormatting sqref="D50:D62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{405800ED-21F4-AC4D-A354-01224D93E3C6}</x14:id>
        </ext>
      </extLst>
    </cfRule>
  </conditionalFormatting>
  <conditionalFormatting sqref="G19:K19">
    <cfRule type="cellIs" dxfId="2" priority="22" operator="greaterThan">
      <formula>$D$99</formula>
    </cfRule>
  </conditionalFormatting>
  <conditionalFormatting sqref="G41:K41">
    <cfRule type="cellIs" dxfId="1" priority="8" operator="greaterThan">
      <formula>$D$99</formula>
    </cfRule>
  </conditionalFormatting>
  <conditionalFormatting sqref="G62:K62">
    <cfRule type="cellIs" dxfId="0" priority="4" operator="greaterThan">
      <formula>$D$99</formula>
    </cfRule>
  </conditionalFormatting>
  <pageMargins left="0" right="0" top="0.25" bottom="0" header="0.3" footer="0.3"/>
  <pageSetup paperSize="9" scale="52" orientation="portrait" horizontalDpi="0" verticalDpi="0"/>
  <ignoredErrors>
    <ignoredError sqref="G7:G18 G29:G40 E29:E40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858F84F-8ABB-FC4A-8487-9119A40B0A0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C7:C18</xm:sqref>
        </x14:conditionalFormatting>
        <x14:conditionalFormatting xmlns:xm="http://schemas.microsoft.com/office/excel/2006/main">
          <x14:cfRule type="dataBar" id="{4BCE4FE7-9E0C-C842-92EE-3BFBFA77C4D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D7:D18</xm:sqref>
        </x14:conditionalFormatting>
        <x14:conditionalFormatting xmlns:xm="http://schemas.microsoft.com/office/excel/2006/main">
          <x14:cfRule type="dataBar" id="{76D51058-FEFA-EA49-B28F-056464E86E4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D29:D40</xm:sqref>
        </x14:conditionalFormatting>
        <x14:conditionalFormatting xmlns:xm="http://schemas.microsoft.com/office/excel/2006/main">
          <x14:cfRule type="dataBar" id="{405800ED-21F4-AC4D-A354-01224D93E3C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D50:D62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5</vt:i4>
      </vt:variant>
    </vt:vector>
  </HeadingPairs>
  <TitlesOfParts>
    <vt:vector size="11" baseType="lpstr">
      <vt:lpstr>CONSOLIDADO-RESUMIDO</vt:lpstr>
      <vt:lpstr>DISTRIBUIÇÃO</vt:lpstr>
      <vt:lpstr>PROD.INDUSTRIA</vt:lpstr>
      <vt:lpstr>COMPRAS-QUANT</vt:lpstr>
      <vt:lpstr>COMPRAS-$</vt:lpstr>
      <vt:lpstr>ANALISE</vt:lpstr>
      <vt:lpstr>ANALISE!Area_de_impressao</vt:lpstr>
      <vt:lpstr>'COMPRAS-$'!Area_de_impressao</vt:lpstr>
      <vt:lpstr>'CONSOLIDADO-RESUMIDO'!Area_de_impressao</vt:lpstr>
      <vt:lpstr>DISTRIBUIÇÃO!Area_de_impressao</vt:lpstr>
      <vt:lpstr>PROD.INDUSTRIA!Area_de_impressao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Neomir Grando</dc:creator>
  <cp:lastModifiedBy>Andrei Bertuol</cp:lastModifiedBy>
  <cp:lastPrinted>2025-11-20T16:32:12Z</cp:lastPrinted>
  <dcterms:created xsi:type="dcterms:W3CDTF">2024-07-26T14:11:58Z</dcterms:created>
  <dcterms:modified xsi:type="dcterms:W3CDTF">2026-09-11T12:36:17Z</dcterms:modified>
</cp:coreProperties>
</file>